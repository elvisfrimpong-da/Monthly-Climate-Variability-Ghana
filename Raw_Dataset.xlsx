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frimpong/Desktop/AgricClimatology/"/>
    </mc:Choice>
  </mc:AlternateContent>
  <xr:revisionPtr revIDLastSave="0" documentId="13_ncr:1_{7CB2C41C-8A82-8145-AEC5-E7584D55B2EF}" xr6:coauthVersionLast="47" xr6:coauthVersionMax="47" xr10:uidLastSave="{00000000-0000-0000-0000-000000000000}"/>
  <bookViews>
    <workbookView xWindow="80" yWindow="680" windowWidth="30160" windowHeight="18960" activeTab="3" xr2:uid="{0D07FE8F-03B9-0647-A9B4-3CD58AF8DA0D}"/>
  </bookViews>
  <sheets>
    <sheet name="Working" sheetId="3" r:id="rId1"/>
    <sheet name="Dataset" sheetId="1" r:id="rId2"/>
    <sheet name="Dec_Data" sheetId="17" r:id="rId3"/>
    <sheet name="Final_data" sheetId="18" r:id="rId4"/>
    <sheet name="Nov_Data" sheetId="16" r:id="rId5"/>
    <sheet name="Oct_Data" sheetId="15" r:id="rId6"/>
    <sheet name="Sep_Data" sheetId="14" r:id="rId7"/>
    <sheet name="Aug_Data" sheetId="13" r:id="rId8"/>
    <sheet name="Jul_Data" sheetId="12" r:id="rId9"/>
    <sheet name="Jun_Data" sheetId="11" r:id="rId10"/>
    <sheet name="May_Data" sheetId="10" r:id="rId11"/>
    <sheet name="Apr_Data" sheetId="9" r:id="rId12"/>
    <sheet name="Mar_Data" sheetId="8" r:id="rId13"/>
    <sheet name="Feb_Data" sheetId="6" r:id="rId14"/>
    <sheet name="Jan_Data" sheetId="5" r:id="rId15"/>
    <sheet name="Information" sheetId="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2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2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2" i="17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2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2" i="16"/>
  <c r="E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2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2" i="14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2" i="13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2" i="12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2" i="1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2" i="10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2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2" i="8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2" i="6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3" i="5"/>
  <c r="E2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3" i="5"/>
  <c r="D2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3" i="5"/>
  <c r="C2" i="5"/>
</calcChain>
</file>

<file path=xl/sharedStrings.xml><?xml version="1.0" encoding="utf-8"?>
<sst xmlns="http://schemas.openxmlformats.org/spreadsheetml/2006/main" count="615" uniqueCount="56">
  <si>
    <t>-BEGIN HEADER-</t>
  </si>
  <si>
    <t xml:space="preserve">NASA/POWER Source Native Resolution Monthly and Annual </t>
  </si>
  <si>
    <t>Dates (month/day/year): 01/01/2010 through 12/31/2024 in LST</t>
  </si>
  <si>
    <t xml:space="preserve">Location: Latitude  27.9757   Longitude -23.1442 </t>
  </si>
  <si>
    <t>Elevation from MERRA-2: Average for 0.5 x 0.625 degree lat/lon region = 0.0 meters</t>
  </si>
  <si>
    <t xml:space="preserve">The value for missing source data that cannot be computed or is outside of the sources availability range: -999 </t>
  </si>
  <si>
    <t xml:space="preserve">Parameter(s): </t>
  </si>
  <si>
    <t xml:space="preserve">PRECTOTCORR_SUM     MERRA-2 Precipitation Corrected Sum (mm/day) </t>
  </si>
  <si>
    <t xml:space="preserve">T2M                 MERRA-2 Temperature at 2 Meters (C) </t>
  </si>
  <si>
    <t xml:space="preserve">T2M_MAX             MERRA-2 Temperature at 2 Meters Maximum (C) </t>
  </si>
  <si>
    <t xml:space="preserve">T2M_MIN             MERRA-2 Temperature at 2 Meters Minimum (C) </t>
  </si>
  <si>
    <t>-END HEADER-</t>
  </si>
  <si>
    <t>PARAMETER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</si>
  <si>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</si>
  <si>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</si>
  <si>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</si>
  <si>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</si>
  <si>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</si>
  <si>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</si>
  <si>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</si>
  <si>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</si>
  <si>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</si>
  <si>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</si>
  <si>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</si>
  <si>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</si>
  <si>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</si>
  <si>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</t>
  </si>
  <si>
    <t>PRECTOTCORR_SUM</t>
  </si>
  <si>
    <t>T2M</t>
  </si>
  <si>
    <t>T2M_MAX</t>
  </si>
  <si>
    <t>T2M_MIN</t>
  </si>
  <si>
    <t>PRECTOTCORR_SUM (mm)</t>
  </si>
  <si>
    <t>Year</t>
  </si>
  <si>
    <t>Month</t>
  </si>
  <si>
    <t>Avg_Temp</t>
  </si>
  <si>
    <t>Max_Temp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</si>
  <si>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</si>
  <si>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</si>
  <si>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</si>
  <si>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</si>
  <si>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</si>
  <si>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</si>
  <si>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</si>
  <si>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</si>
  <si>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</si>
  <si>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</si>
  <si>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</si>
  <si>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</si>
  <si>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Rainfall_mm</t>
  </si>
  <si>
    <t>Data Source</t>
  </si>
  <si>
    <t>NASA Power</t>
  </si>
  <si>
    <t>Cleaning method</t>
  </si>
  <si>
    <t>MaNUAL EXTRACTION BY MONTH</t>
  </si>
  <si>
    <t>VARIABLES</t>
  </si>
  <si>
    <t>Rainfall, Avg Temp, Max Temp</t>
  </si>
  <si>
    <t>Month_Num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</si>
</sst>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3" fillId="33" borderId="13" xfId="0" applyFont="1" applyFill="1" applyBorder="1"/>
    <xf numFmtId="0" fontId="13" fillId="33" borderId="14" xfId="0" applyFont="1" applyFill="1" applyBorder="1"/>
    <xf numFmtId="0" fontId="13" fillId="33" borderId="15" xfId="0" applyFont="1" applyFill="1" applyBorder="1"/>
    <xf numFmtId="0" fontId="0" fillId="34" borderId="13" xfId="0" applyFill="1" applyBorder="1"/>
    <xf numFmtId="0" fontId="0" fillId="34" borderId="14" xfId="0" applyFill="1" applyBorder="1"/>
    <xf numFmtId="0" fontId="0" fillId="34" borderId="15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9" fillId="0" borderId="0" xfId="0" applyFont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2AFD20-4886-0A45-A350-50370FC8070B}" name="Table1" displayName="Table1" ref="A1:O61" totalsRowShown="0" headerRowDxfId="0">
  <autoFilter ref="A1:O61" xr:uid="{112AFD20-4886-0A45-A350-50370FC8070B}"/>
  <tableColumns count="15">
    <tableColumn id="1" xr3:uid="{6B47DB4B-A77C-9346-BB04-A38B016138D8}" name="PARAMETER"/>
    <tableColumn id="2" xr3:uid="{D47F91E5-DE0A-2B4E-BCE8-05733C0028A9}" name="YEAR"/>
    <tableColumn id="3" xr3:uid="{D3DA288C-6306-194E-945D-752756EB7326}" name="JAN"/>
    <tableColumn id="4" xr3:uid="{F78BE686-EB6C-7D4E-84C3-27E27E77FDE4}" name="FEB"/>
    <tableColumn id="5" xr3:uid="{3BBF58BB-8550-5540-8821-0AF8A0433845}" name="MAR"/>
    <tableColumn id="6" xr3:uid="{E41F62AE-5313-9F4E-93E1-0AD631D18F9A}" name="APR"/>
    <tableColumn id="7" xr3:uid="{F9A44C57-0998-FA4C-8EF1-D46172228B86}" name="MAY"/>
    <tableColumn id="8" xr3:uid="{34F3E62E-3383-2543-8A84-13C8D477D1F5}" name="JUN"/>
    <tableColumn id="9" xr3:uid="{B1E64457-759B-C648-A13E-561140BD2830}" name="JUL"/>
    <tableColumn id="10" xr3:uid="{74CA44F3-84E2-2A4B-95A5-FFED1FEA9C8C}" name="AUG"/>
    <tableColumn id="11" xr3:uid="{A5166E03-76BE-834F-A9D1-AE91021F2FC6}" name="SEP"/>
    <tableColumn id="12" xr3:uid="{BB83C1A0-53BF-174F-AA6D-50A931D3C306}" name="OCT"/>
    <tableColumn id="13" xr3:uid="{627E249C-0A1E-A84F-8F2F-9672DDD8E4CD}" name="NOV"/>
    <tableColumn id="14" xr3:uid="{414BB368-DDC6-264C-B9C3-4BEC4686806C}" name="DEC"/>
    <tableColumn id="15" xr3:uid="{37C26EA5-B908-DF47-9116-C33AF22AC07F}" name="AN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53FE-16DF-8D42-9EA8-B9AC63399955}">
  <dimension ref="A1:R61"/>
  <sheetViews>
    <sheetView workbookViewId="0">
      <pane ySplit="1" topLeftCell="A2" activePane="bottomLeft" state="frozen"/>
      <selection pane="bottomLeft" activeCell="P7" sqref="P7"/>
    </sheetView>
  </sheetViews>
  <sheetFormatPr baseColWidth="10" defaultRowHeight="16" x14ac:dyDescent="0.2"/>
  <cols>
    <col min="1" max="1" width="23.1640625" bestFit="1" customWidth="1"/>
  </cols>
  <sheetData>
    <row r="1" spans="1:18" x14ac:dyDescent="0.2">
      <c r="A1" s="5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  <c r="O1" s="7" t="s">
        <v>26</v>
      </c>
    </row>
    <row r="2" spans="1:18" x14ac:dyDescent="0.2">
      <c r="A2" s="8" t="s">
        <v>31</v>
      </c>
      <c r="B2" s="9">
        <v>2010</v>
      </c>
      <c r="C2" s="9">
        <v>57.21</v>
      </c>
      <c r="D2" s="9">
        <v>39.97</v>
      </c>
      <c r="E2" s="9">
        <v>20.55</v>
      </c>
      <c r="F2" s="9">
        <v>23.36</v>
      </c>
      <c r="G2" s="9">
        <v>2.99</v>
      </c>
      <c r="H2" s="9">
        <v>1.33</v>
      </c>
      <c r="I2" s="9">
        <v>0.78</v>
      </c>
      <c r="J2" s="9">
        <v>2.2200000000000002</v>
      </c>
      <c r="K2" s="9">
        <v>48.86</v>
      </c>
      <c r="L2" s="9">
        <v>3.88</v>
      </c>
      <c r="M2" s="9">
        <v>70.53</v>
      </c>
      <c r="N2" s="9">
        <v>33.69</v>
      </c>
      <c r="O2" s="10">
        <v>305.37</v>
      </c>
    </row>
    <row r="3" spans="1:18" x14ac:dyDescent="0.2">
      <c r="A3" s="11" t="s">
        <v>31</v>
      </c>
      <c r="B3" s="12">
        <v>2011</v>
      </c>
      <c r="C3" s="12">
        <v>32.94</v>
      </c>
      <c r="D3" s="12">
        <v>4.46</v>
      </c>
      <c r="E3" s="12">
        <v>6.76</v>
      </c>
      <c r="F3" s="12">
        <v>7.79</v>
      </c>
      <c r="G3" s="12">
        <v>2.66</v>
      </c>
      <c r="H3" s="12">
        <v>2.99</v>
      </c>
      <c r="I3" s="12">
        <v>7.95</v>
      </c>
      <c r="J3" s="12">
        <v>9.73</v>
      </c>
      <c r="K3" s="12">
        <v>14.52</v>
      </c>
      <c r="L3" s="12">
        <v>48.8</v>
      </c>
      <c r="M3" s="12">
        <v>36.21</v>
      </c>
      <c r="N3" s="12">
        <v>6.76</v>
      </c>
      <c r="O3" s="13">
        <v>181.57</v>
      </c>
      <c r="R3" t="s">
        <v>14</v>
      </c>
    </row>
    <row r="4" spans="1:18" x14ac:dyDescent="0.2">
      <c r="A4" s="8" t="s">
        <v>27</v>
      </c>
      <c r="B4" s="9">
        <v>2012</v>
      </c>
      <c r="C4" s="9">
        <v>11.95</v>
      </c>
      <c r="D4" s="9">
        <v>17.36</v>
      </c>
      <c r="E4" s="9">
        <v>5.8</v>
      </c>
      <c r="F4" s="9">
        <v>7.69</v>
      </c>
      <c r="G4" s="9">
        <v>12.3</v>
      </c>
      <c r="H4" s="9">
        <v>0</v>
      </c>
      <c r="I4" s="9">
        <v>0.86</v>
      </c>
      <c r="J4" s="9">
        <v>1.54</v>
      </c>
      <c r="K4" s="9">
        <v>2.29</v>
      </c>
      <c r="L4" s="9">
        <v>65.17</v>
      </c>
      <c r="M4" s="9">
        <v>48.39</v>
      </c>
      <c r="N4" s="9">
        <v>18.54</v>
      </c>
      <c r="O4" s="10">
        <v>191.89</v>
      </c>
      <c r="R4" t="s">
        <v>15</v>
      </c>
    </row>
    <row r="5" spans="1:18" x14ac:dyDescent="0.2">
      <c r="A5" s="11" t="s">
        <v>27</v>
      </c>
      <c r="B5" s="12">
        <v>2013</v>
      </c>
      <c r="C5" s="12">
        <v>14.11</v>
      </c>
      <c r="D5" s="12">
        <v>20.170000000000002</v>
      </c>
      <c r="E5" s="12">
        <v>18.420000000000002</v>
      </c>
      <c r="F5" s="12">
        <v>5.6</v>
      </c>
      <c r="G5" s="12">
        <v>5.54</v>
      </c>
      <c r="H5" s="12">
        <v>2.4</v>
      </c>
      <c r="I5" s="12">
        <v>1.57</v>
      </c>
      <c r="J5" s="12">
        <v>1.81</v>
      </c>
      <c r="K5" s="12">
        <v>11.7</v>
      </c>
      <c r="L5" s="12">
        <v>9.98</v>
      </c>
      <c r="M5" s="12">
        <v>53.52</v>
      </c>
      <c r="N5" s="12">
        <v>38.18</v>
      </c>
      <c r="O5" s="13">
        <v>183</v>
      </c>
      <c r="R5" t="s">
        <v>16</v>
      </c>
    </row>
    <row r="6" spans="1:18" x14ac:dyDescent="0.2">
      <c r="A6" s="8" t="s">
        <v>27</v>
      </c>
      <c r="B6" s="9">
        <v>2014</v>
      </c>
      <c r="C6" s="9">
        <v>11.92</v>
      </c>
      <c r="D6" s="9">
        <v>3.65</v>
      </c>
      <c r="E6" s="9">
        <v>6.28</v>
      </c>
      <c r="F6" s="9">
        <v>13.36</v>
      </c>
      <c r="G6" s="9">
        <v>2.36</v>
      </c>
      <c r="H6" s="9">
        <v>2.61</v>
      </c>
      <c r="I6" s="9">
        <v>0.8</v>
      </c>
      <c r="J6" s="9">
        <v>1.33</v>
      </c>
      <c r="K6" s="9">
        <v>16.95</v>
      </c>
      <c r="L6" s="9">
        <v>15.06</v>
      </c>
      <c r="M6" s="9">
        <v>18.66</v>
      </c>
      <c r="N6" s="9">
        <v>39.99</v>
      </c>
      <c r="O6" s="10">
        <v>132.97</v>
      </c>
      <c r="R6" t="s">
        <v>17</v>
      </c>
    </row>
    <row r="7" spans="1:18" x14ac:dyDescent="0.2">
      <c r="A7" s="11" t="s">
        <v>27</v>
      </c>
      <c r="B7" s="12">
        <v>2015</v>
      </c>
      <c r="C7" s="12">
        <v>7.68</v>
      </c>
      <c r="D7" s="12">
        <v>19.72</v>
      </c>
      <c r="E7" s="12">
        <v>13.14</v>
      </c>
      <c r="F7" s="12">
        <v>2.54</v>
      </c>
      <c r="G7" s="12">
        <v>3.96</v>
      </c>
      <c r="H7" s="12">
        <v>1.43</v>
      </c>
      <c r="I7" s="12">
        <v>1.07</v>
      </c>
      <c r="J7" s="12">
        <v>13.86</v>
      </c>
      <c r="K7" s="12">
        <v>8.11</v>
      </c>
      <c r="L7" s="12">
        <v>27.99</v>
      </c>
      <c r="M7" s="12">
        <v>16.09</v>
      </c>
      <c r="N7" s="12">
        <v>4.57</v>
      </c>
      <c r="O7" s="13">
        <v>120.16</v>
      </c>
      <c r="R7" t="s">
        <v>18</v>
      </c>
    </row>
    <row r="8" spans="1:18" x14ac:dyDescent="0.2">
      <c r="A8" s="8" t="s">
        <v>27</v>
      </c>
      <c r="B8" s="9">
        <v>2016</v>
      </c>
      <c r="C8" s="9">
        <v>19.11</v>
      </c>
      <c r="D8" s="9">
        <v>27.66</v>
      </c>
      <c r="E8" s="9">
        <v>6.27</v>
      </c>
      <c r="F8" s="9">
        <v>5.23</v>
      </c>
      <c r="G8" s="9">
        <v>1.63</v>
      </c>
      <c r="H8" s="9">
        <v>1.74</v>
      </c>
      <c r="I8" s="9">
        <v>2.93</v>
      </c>
      <c r="J8" s="9">
        <v>2.27</v>
      </c>
      <c r="K8" s="9">
        <v>3.42</v>
      </c>
      <c r="L8" s="9">
        <v>21.45</v>
      </c>
      <c r="M8" s="9">
        <v>31.52</v>
      </c>
      <c r="N8" s="9">
        <v>24.13</v>
      </c>
      <c r="O8" s="10">
        <v>147.36000000000001</v>
      </c>
      <c r="R8" t="s">
        <v>19</v>
      </c>
    </row>
    <row r="9" spans="1:18" x14ac:dyDescent="0.2">
      <c r="A9" s="11" t="s">
        <v>27</v>
      </c>
      <c r="B9" s="12">
        <v>2017</v>
      </c>
      <c r="C9" s="12">
        <v>21.95</v>
      </c>
      <c r="D9" s="12">
        <v>6.16</v>
      </c>
      <c r="E9" s="12">
        <v>6.31</v>
      </c>
      <c r="F9" s="12">
        <v>8</v>
      </c>
      <c r="G9" s="12">
        <v>6.35</v>
      </c>
      <c r="H9" s="12">
        <v>1</v>
      </c>
      <c r="I9" s="12">
        <v>0.41</v>
      </c>
      <c r="J9" s="12">
        <v>4.5199999999999996</v>
      </c>
      <c r="K9" s="12">
        <v>9.1199999999999992</v>
      </c>
      <c r="L9" s="12">
        <v>17.32</v>
      </c>
      <c r="M9" s="12">
        <v>35.549999999999997</v>
      </c>
      <c r="N9" s="12">
        <v>13.7</v>
      </c>
      <c r="O9" s="13">
        <v>130.38999999999999</v>
      </c>
      <c r="R9" t="s">
        <v>20</v>
      </c>
    </row>
    <row r="10" spans="1:18" x14ac:dyDescent="0.2">
      <c r="A10" s="8" t="s">
        <v>27</v>
      </c>
      <c r="B10" s="9">
        <v>2018</v>
      </c>
      <c r="C10" s="9">
        <v>4.5199999999999996</v>
      </c>
      <c r="D10" s="9">
        <v>13.2</v>
      </c>
      <c r="E10" s="9">
        <v>9.2200000000000006</v>
      </c>
      <c r="F10" s="9">
        <v>1.32</v>
      </c>
      <c r="G10" s="9">
        <v>2.78</v>
      </c>
      <c r="H10" s="9">
        <v>2.77</v>
      </c>
      <c r="I10" s="9">
        <v>0.67</v>
      </c>
      <c r="J10" s="9">
        <v>1.36</v>
      </c>
      <c r="K10" s="9">
        <v>3.86</v>
      </c>
      <c r="L10" s="9">
        <v>44.44</v>
      </c>
      <c r="M10" s="9">
        <v>15.36</v>
      </c>
      <c r="N10" s="9">
        <v>14.23</v>
      </c>
      <c r="O10" s="10">
        <v>113.73</v>
      </c>
      <c r="R10" t="s">
        <v>21</v>
      </c>
    </row>
    <row r="11" spans="1:18" x14ac:dyDescent="0.2">
      <c r="A11" s="11" t="s">
        <v>27</v>
      </c>
      <c r="B11" s="12">
        <v>2019</v>
      </c>
      <c r="C11" s="12">
        <v>11.95</v>
      </c>
      <c r="D11" s="12">
        <v>12.25</v>
      </c>
      <c r="E11" s="12">
        <v>5.18</v>
      </c>
      <c r="F11" s="12">
        <v>9.3800000000000008</v>
      </c>
      <c r="G11" s="12">
        <v>1.44</v>
      </c>
      <c r="H11" s="12">
        <v>1.18</v>
      </c>
      <c r="I11" s="12">
        <v>0.85</v>
      </c>
      <c r="J11" s="12">
        <v>1.03</v>
      </c>
      <c r="K11" s="12">
        <v>9.5</v>
      </c>
      <c r="L11" s="12">
        <v>4.9000000000000004</v>
      </c>
      <c r="M11" s="12">
        <v>11.73</v>
      </c>
      <c r="N11" s="12">
        <v>7.18</v>
      </c>
      <c r="O11" s="13">
        <v>76.569999999999993</v>
      </c>
      <c r="R11" t="s">
        <v>22</v>
      </c>
    </row>
    <row r="12" spans="1:18" x14ac:dyDescent="0.2">
      <c r="A12" s="8" t="s">
        <v>27</v>
      </c>
      <c r="B12" s="9">
        <v>2020</v>
      </c>
      <c r="C12" s="9">
        <v>3.39</v>
      </c>
      <c r="D12" s="9">
        <v>7.72</v>
      </c>
      <c r="E12" s="9">
        <v>4.3600000000000003</v>
      </c>
      <c r="F12" s="9">
        <v>4.67</v>
      </c>
      <c r="G12" s="9">
        <v>1.7</v>
      </c>
      <c r="H12" s="9">
        <v>18.8</v>
      </c>
      <c r="I12" s="9">
        <v>1.58</v>
      </c>
      <c r="J12" s="9">
        <v>0.67</v>
      </c>
      <c r="K12" s="9">
        <v>23.32</v>
      </c>
      <c r="L12" s="9">
        <v>15.18</v>
      </c>
      <c r="M12" s="9">
        <v>23.44</v>
      </c>
      <c r="N12" s="9">
        <v>21.22</v>
      </c>
      <c r="O12" s="10">
        <v>126.05</v>
      </c>
      <c r="R12" t="s">
        <v>23</v>
      </c>
    </row>
    <row r="13" spans="1:18" x14ac:dyDescent="0.2">
      <c r="A13" s="11" t="s">
        <v>27</v>
      </c>
      <c r="B13" s="12">
        <v>2021</v>
      </c>
      <c r="C13" s="12">
        <v>46.16</v>
      </c>
      <c r="D13" s="12">
        <v>2.73</v>
      </c>
      <c r="E13" s="12">
        <v>2.99</v>
      </c>
      <c r="F13" s="12">
        <v>8.34</v>
      </c>
      <c r="G13" s="12">
        <v>1.32</v>
      </c>
      <c r="H13" s="12">
        <v>11.88</v>
      </c>
      <c r="I13" s="12">
        <v>1.87</v>
      </c>
      <c r="J13" s="12">
        <v>0.93</v>
      </c>
      <c r="K13" s="12">
        <v>9.4600000000000009</v>
      </c>
      <c r="L13" s="12">
        <v>0.85</v>
      </c>
      <c r="M13" s="12">
        <v>59.1</v>
      </c>
      <c r="N13" s="12">
        <v>6.01</v>
      </c>
      <c r="O13" s="13">
        <v>151.63999999999999</v>
      </c>
      <c r="R13" t="s">
        <v>24</v>
      </c>
    </row>
    <row r="14" spans="1:18" x14ac:dyDescent="0.2">
      <c r="A14" s="8" t="s">
        <v>27</v>
      </c>
      <c r="B14" s="9">
        <v>2022</v>
      </c>
      <c r="C14" s="9">
        <v>21.32</v>
      </c>
      <c r="D14" s="9">
        <v>8.6199999999999992</v>
      </c>
      <c r="E14" s="9">
        <v>5.59</v>
      </c>
      <c r="F14" s="9">
        <v>6.63</v>
      </c>
      <c r="G14" s="9">
        <v>3.92</v>
      </c>
      <c r="H14" s="9">
        <v>3.51</v>
      </c>
      <c r="I14" s="9">
        <v>7.83</v>
      </c>
      <c r="J14" s="9">
        <v>4.21</v>
      </c>
      <c r="K14" s="9">
        <v>22.4</v>
      </c>
      <c r="L14" s="9">
        <v>7.57</v>
      </c>
      <c r="M14" s="9">
        <v>11.4</v>
      </c>
      <c r="N14" s="9">
        <v>16.3</v>
      </c>
      <c r="O14" s="10">
        <v>119.3</v>
      </c>
      <c r="R14" t="s">
        <v>25</v>
      </c>
    </row>
    <row r="15" spans="1:18" x14ac:dyDescent="0.2">
      <c r="A15" s="11" t="s">
        <v>27</v>
      </c>
      <c r="B15" s="12">
        <v>2023</v>
      </c>
      <c r="C15" s="12">
        <v>6.12</v>
      </c>
      <c r="D15" s="12">
        <v>2.11</v>
      </c>
      <c r="E15" s="12">
        <v>2.56</v>
      </c>
      <c r="F15" s="12">
        <v>3.14</v>
      </c>
      <c r="G15" s="12">
        <v>0.9</v>
      </c>
      <c r="H15" s="12">
        <v>15.59</v>
      </c>
      <c r="I15" s="12">
        <v>0.33</v>
      </c>
      <c r="J15" s="12">
        <v>6.01</v>
      </c>
      <c r="K15" s="12">
        <v>3.4</v>
      </c>
      <c r="L15" s="12">
        <v>10.17</v>
      </c>
      <c r="M15" s="12">
        <v>14.49</v>
      </c>
      <c r="N15" s="12">
        <v>9.74</v>
      </c>
      <c r="O15" s="13">
        <v>74.56</v>
      </c>
    </row>
    <row r="16" spans="1:18" x14ac:dyDescent="0.2">
      <c r="A16" s="8" t="s">
        <v>27</v>
      </c>
      <c r="B16" s="9">
        <v>2024</v>
      </c>
      <c r="C16" s="9">
        <v>22.14</v>
      </c>
      <c r="D16" s="9">
        <v>11.35</v>
      </c>
      <c r="E16" s="9">
        <v>1.27</v>
      </c>
      <c r="F16" s="9">
        <v>3.26</v>
      </c>
      <c r="G16" s="9">
        <v>6.38</v>
      </c>
      <c r="H16" s="9">
        <v>4.1100000000000003</v>
      </c>
      <c r="I16" s="9">
        <v>0.51</v>
      </c>
      <c r="J16" s="9">
        <v>0.5</v>
      </c>
      <c r="K16" s="9">
        <v>11.15</v>
      </c>
      <c r="L16" s="9">
        <v>9.82</v>
      </c>
      <c r="M16" s="9">
        <v>28.97</v>
      </c>
      <c r="N16" s="9">
        <v>25.42</v>
      </c>
      <c r="O16" s="10">
        <v>124.88</v>
      </c>
    </row>
    <row r="17" spans="1:15" x14ac:dyDescent="0.2">
      <c r="A17" s="11" t="s">
        <v>28</v>
      </c>
      <c r="B17" s="12">
        <v>2010</v>
      </c>
      <c r="C17" s="12">
        <v>20.239999999999998</v>
      </c>
      <c r="D17" s="12">
        <v>19.95</v>
      </c>
      <c r="E17" s="12">
        <v>19.75</v>
      </c>
      <c r="F17" s="12">
        <v>20.100000000000001</v>
      </c>
      <c r="G17" s="12">
        <v>20.18</v>
      </c>
      <c r="H17" s="12">
        <v>21.13</v>
      </c>
      <c r="I17" s="12">
        <v>22.02</v>
      </c>
      <c r="J17" s="12">
        <v>23.21</v>
      </c>
      <c r="K17" s="12">
        <v>23.7</v>
      </c>
      <c r="L17" s="12">
        <v>23.47</v>
      </c>
      <c r="M17" s="12">
        <v>22.4</v>
      </c>
      <c r="N17" s="12">
        <v>21.16</v>
      </c>
      <c r="O17" s="13">
        <v>21.45</v>
      </c>
    </row>
    <row r="18" spans="1:15" x14ac:dyDescent="0.2">
      <c r="A18" s="8" t="s">
        <v>28</v>
      </c>
      <c r="B18" s="9">
        <v>2011</v>
      </c>
      <c r="C18" s="9">
        <v>19.46</v>
      </c>
      <c r="D18" s="9">
        <v>19</v>
      </c>
      <c r="E18" s="9">
        <v>18.29</v>
      </c>
      <c r="F18" s="9">
        <v>18.95</v>
      </c>
      <c r="G18" s="9">
        <v>19.670000000000002</v>
      </c>
      <c r="H18" s="9">
        <v>20.64</v>
      </c>
      <c r="I18" s="9">
        <v>21.77</v>
      </c>
      <c r="J18" s="9">
        <v>22.91</v>
      </c>
      <c r="K18" s="9">
        <v>23.91</v>
      </c>
      <c r="L18" s="9">
        <v>23.55</v>
      </c>
      <c r="M18" s="9">
        <v>21.99</v>
      </c>
      <c r="N18" s="9">
        <v>20.81</v>
      </c>
      <c r="O18" s="10">
        <v>20.92</v>
      </c>
    </row>
    <row r="19" spans="1:15" x14ac:dyDescent="0.2">
      <c r="A19" s="11" t="s">
        <v>28</v>
      </c>
      <c r="B19" s="12">
        <v>2012</v>
      </c>
      <c r="C19" s="12">
        <v>19.36</v>
      </c>
      <c r="D19" s="12">
        <v>18.23</v>
      </c>
      <c r="E19" s="12">
        <v>18.25</v>
      </c>
      <c r="F19" s="12">
        <v>18.77</v>
      </c>
      <c r="G19" s="12">
        <v>20.420000000000002</v>
      </c>
      <c r="H19" s="12">
        <v>22.71</v>
      </c>
      <c r="I19" s="12">
        <v>22.99</v>
      </c>
      <c r="J19" s="12">
        <v>23.99</v>
      </c>
      <c r="K19" s="12">
        <v>24.82</v>
      </c>
      <c r="L19" s="12">
        <v>23.99</v>
      </c>
      <c r="M19" s="12">
        <v>22.21</v>
      </c>
      <c r="N19" s="12">
        <v>20.71</v>
      </c>
      <c r="O19" s="13">
        <v>21.38</v>
      </c>
    </row>
    <row r="20" spans="1:15" x14ac:dyDescent="0.2">
      <c r="A20" s="8" t="s">
        <v>28</v>
      </c>
      <c r="B20" s="9">
        <v>2013</v>
      </c>
      <c r="C20" s="9">
        <v>19.690000000000001</v>
      </c>
      <c r="D20" s="9">
        <v>19.13</v>
      </c>
      <c r="E20" s="9">
        <v>19.5</v>
      </c>
      <c r="F20" s="9">
        <v>19.899999999999999</v>
      </c>
      <c r="G20" s="9">
        <v>20.39</v>
      </c>
      <c r="H20" s="9">
        <v>20.95</v>
      </c>
      <c r="I20" s="9">
        <v>22.13</v>
      </c>
      <c r="J20" s="9">
        <v>23.26</v>
      </c>
      <c r="K20" s="9">
        <v>23.49</v>
      </c>
      <c r="L20" s="9">
        <v>23.25</v>
      </c>
      <c r="M20" s="9">
        <v>22.02</v>
      </c>
      <c r="N20" s="9">
        <v>20.83</v>
      </c>
      <c r="O20" s="10">
        <v>21.22</v>
      </c>
    </row>
    <row r="21" spans="1:15" x14ac:dyDescent="0.2">
      <c r="A21" s="11" t="s">
        <v>28</v>
      </c>
      <c r="B21" s="12">
        <v>2014</v>
      </c>
      <c r="C21" s="12">
        <v>19.34</v>
      </c>
      <c r="D21" s="12">
        <v>18.440000000000001</v>
      </c>
      <c r="E21" s="12">
        <v>18.34</v>
      </c>
      <c r="F21" s="12">
        <v>19.23</v>
      </c>
      <c r="G21" s="12">
        <v>19.920000000000002</v>
      </c>
      <c r="H21" s="12">
        <v>21.2</v>
      </c>
      <c r="I21" s="12">
        <v>22.68</v>
      </c>
      <c r="J21" s="12">
        <v>24</v>
      </c>
      <c r="K21" s="12">
        <v>24.45</v>
      </c>
      <c r="L21" s="12">
        <v>23.48</v>
      </c>
      <c r="M21" s="12">
        <v>21.89</v>
      </c>
      <c r="N21" s="12">
        <v>20.29</v>
      </c>
      <c r="O21" s="13">
        <v>21.12</v>
      </c>
    </row>
    <row r="22" spans="1:15" x14ac:dyDescent="0.2">
      <c r="A22" s="8" t="s">
        <v>28</v>
      </c>
      <c r="B22" s="9">
        <v>2015</v>
      </c>
      <c r="C22" s="9">
        <v>18.940000000000001</v>
      </c>
      <c r="D22" s="9">
        <v>18.2</v>
      </c>
      <c r="E22" s="9">
        <v>17.98</v>
      </c>
      <c r="F22" s="9">
        <v>18.36</v>
      </c>
      <c r="G22" s="9">
        <v>20.07</v>
      </c>
      <c r="H22" s="9">
        <v>21.12</v>
      </c>
      <c r="I22" s="9">
        <v>23.22</v>
      </c>
      <c r="J22" s="9">
        <v>24.12</v>
      </c>
      <c r="K22" s="9">
        <v>24.7</v>
      </c>
      <c r="L22" s="9">
        <v>23.63</v>
      </c>
      <c r="M22" s="9">
        <v>22.43</v>
      </c>
      <c r="N22" s="9">
        <v>21.06</v>
      </c>
      <c r="O22" s="10">
        <v>21.17</v>
      </c>
    </row>
    <row r="23" spans="1:15" x14ac:dyDescent="0.2">
      <c r="A23" s="11" t="s">
        <v>28</v>
      </c>
      <c r="B23" s="12">
        <v>2016</v>
      </c>
      <c r="C23" s="12">
        <v>20.399999999999999</v>
      </c>
      <c r="D23" s="12">
        <v>19.32</v>
      </c>
      <c r="E23" s="12">
        <v>18.77</v>
      </c>
      <c r="F23" s="12">
        <v>19.41</v>
      </c>
      <c r="G23" s="12">
        <v>20.12</v>
      </c>
      <c r="H23" s="12">
        <v>22.16</v>
      </c>
      <c r="I23" s="12">
        <v>22.39</v>
      </c>
      <c r="J23" s="12">
        <v>23.39</v>
      </c>
      <c r="K23" s="12">
        <v>23.77</v>
      </c>
      <c r="L23" s="12">
        <v>23.21</v>
      </c>
      <c r="M23" s="12">
        <v>21.63</v>
      </c>
      <c r="N23" s="12">
        <v>20.56</v>
      </c>
      <c r="O23" s="13">
        <v>21.27</v>
      </c>
    </row>
    <row r="24" spans="1:15" x14ac:dyDescent="0.2">
      <c r="A24" s="8" t="s">
        <v>28</v>
      </c>
      <c r="B24" s="9">
        <v>2017</v>
      </c>
      <c r="C24" s="9">
        <v>19.420000000000002</v>
      </c>
      <c r="D24" s="9">
        <v>19.13</v>
      </c>
      <c r="E24" s="9">
        <v>18.72</v>
      </c>
      <c r="F24" s="9">
        <v>19.75</v>
      </c>
      <c r="G24" s="9">
        <v>20.77</v>
      </c>
      <c r="H24" s="9">
        <v>21.95</v>
      </c>
      <c r="I24" s="9">
        <v>22.71</v>
      </c>
      <c r="J24" s="9">
        <v>23.47</v>
      </c>
      <c r="K24" s="9">
        <v>23.63</v>
      </c>
      <c r="L24" s="9">
        <v>23.26</v>
      </c>
      <c r="M24" s="9">
        <v>22.45</v>
      </c>
      <c r="N24" s="9">
        <v>20.98</v>
      </c>
      <c r="O24" s="10">
        <v>21.37</v>
      </c>
    </row>
    <row r="25" spans="1:15" x14ac:dyDescent="0.2">
      <c r="A25" s="11" t="s">
        <v>28</v>
      </c>
      <c r="B25" s="12">
        <v>2018</v>
      </c>
      <c r="C25" s="12">
        <v>19.649999999999999</v>
      </c>
      <c r="D25" s="12">
        <v>18.57</v>
      </c>
      <c r="E25" s="12">
        <v>19</v>
      </c>
      <c r="F25" s="12">
        <v>18.920000000000002</v>
      </c>
      <c r="G25" s="12">
        <v>19.3</v>
      </c>
      <c r="H25" s="12">
        <v>20.75</v>
      </c>
      <c r="I25" s="12">
        <v>22.28</v>
      </c>
      <c r="J25" s="12">
        <v>23.46</v>
      </c>
      <c r="K25" s="12">
        <v>23.68</v>
      </c>
      <c r="L25" s="12">
        <v>23.31</v>
      </c>
      <c r="M25" s="12">
        <v>21.48</v>
      </c>
      <c r="N25" s="12">
        <v>20.76</v>
      </c>
      <c r="O25" s="13">
        <v>20.95</v>
      </c>
    </row>
    <row r="26" spans="1:15" x14ac:dyDescent="0.2">
      <c r="A26" s="8" t="s">
        <v>28</v>
      </c>
      <c r="B26" s="9">
        <v>2019</v>
      </c>
      <c r="C26" s="9">
        <v>19.68</v>
      </c>
      <c r="D26" s="9">
        <v>19.170000000000002</v>
      </c>
      <c r="E26" s="9">
        <v>18.88</v>
      </c>
      <c r="F26" s="9">
        <v>19.02</v>
      </c>
      <c r="G26" s="9">
        <v>20.34</v>
      </c>
      <c r="H26" s="9">
        <v>21.36</v>
      </c>
      <c r="I26" s="9">
        <v>22.83</v>
      </c>
      <c r="J26" s="9">
        <v>24.12</v>
      </c>
      <c r="K26" s="9">
        <v>23.7</v>
      </c>
      <c r="L26" s="9">
        <v>23.33</v>
      </c>
      <c r="M26" s="9">
        <v>22.32</v>
      </c>
      <c r="N26" s="9">
        <v>21.07</v>
      </c>
      <c r="O26" s="10">
        <v>21.33</v>
      </c>
    </row>
    <row r="27" spans="1:15" x14ac:dyDescent="0.2">
      <c r="A27" s="11" t="s">
        <v>28</v>
      </c>
      <c r="B27" s="12">
        <v>2020</v>
      </c>
      <c r="C27" s="12">
        <v>19.61</v>
      </c>
      <c r="D27" s="12">
        <v>19.760000000000002</v>
      </c>
      <c r="E27" s="12">
        <v>19.45</v>
      </c>
      <c r="F27" s="12">
        <v>19.940000000000001</v>
      </c>
      <c r="G27" s="12">
        <v>20.54</v>
      </c>
      <c r="H27" s="12">
        <v>21.82</v>
      </c>
      <c r="I27" s="12">
        <v>22.63</v>
      </c>
      <c r="J27" s="12">
        <v>23.58</v>
      </c>
      <c r="K27" s="12">
        <v>23.8</v>
      </c>
      <c r="L27" s="12">
        <v>23.39</v>
      </c>
      <c r="M27" s="12">
        <v>22.13</v>
      </c>
      <c r="N27" s="12">
        <v>20.440000000000001</v>
      </c>
      <c r="O27" s="13">
        <v>21.43</v>
      </c>
    </row>
    <row r="28" spans="1:15" x14ac:dyDescent="0.2">
      <c r="A28" s="8" t="s">
        <v>28</v>
      </c>
      <c r="B28" s="9">
        <v>2021</v>
      </c>
      <c r="C28" s="9">
        <v>19.850000000000001</v>
      </c>
      <c r="D28" s="9">
        <v>19.13</v>
      </c>
      <c r="E28" s="9">
        <v>19.079999999999998</v>
      </c>
      <c r="F28" s="9">
        <v>20.190000000000001</v>
      </c>
      <c r="G28" s="9">
        <v>20.56</v>
      </c>
      <c r="H28" s="9">
        <v>21.25</v>
      </c>
      <c r="I28" s="9">
        <v>22.66</v>
      </c>
      <c r="J28" s="9">
        <v>23.64</v>
      </c>
      <c r="K28" s="9">
        <v>24.5</v>
      </c>
      <c r="L28" s="9">
        <v>23.26</v>
      </c>
      <c r="M28" s="9">
        <v>22.52</v>
      </c>
      <c r="N28" s="9">
        <v>20.73</v>
      </c>
      <c r="O28" s="10">
        <v>21.46</v>
      </c>
    </row>
    <row r="29" spans="1:15" x14ac:dyDescent="0.2">
      <c r="A29" s="11" t="s">
        <v>28</v>
      </c>
      <c r="B29" s="12">
        <v>2022</v>
      </c>
      <c r="C29" s="12">
        <v>20.079999999999998</v>
      </c>
      <c r="D29" s="12">
        <v>19.5</v>
      </c>
      <c r="E29" s="12">
        <v>18.97</v>
      </c>
      <c r="F29" s="12">
        <v>19.45</v>
      </c>
      <c r="G29" s="12">
        <v>20.47</v>
      </c>
      <c r="H29" s="12">
        <v>21.42</v>
      </c>
      <c r="I29" s="12">
        <v>22.12</v>
      </c>
      <c r="J29" s="12">
        <v>23.02</v>
      </c>
      <c r="K29" s="12">
        <v>24.23</v>
      </c>
      <c r="L29" s="12">
        <v>23.42</v>
      </c>
      <c r="M29" s="12">
        <v>22.69</v>
      </c>
      <c r="N29" s="12">
        <v>21.88</v>
      </c>
      <c r="O29" s="13">
        <v>21.45</v>
      </c>
    </row>
    <row r="30" spans="1:15" x14ac:dyDescent="0.2">
      <c r="A30" s="8" t="s">
        <v>28</v>
      </c>
      <c r="B30" s="9">
        <v>2023</v>
      </c>
      <c r="C30" s="9">
        <v>20.5</v>
      </c>
      <c r="D30" s="9">
        <v>19.059999999999999</v>
      </c>
      <c r="E30" s="9">
        <v>20.49</v>
      </c>
      <c r="F30" s="9">
        <v>20.77</v>
      </c>
      <c r="G30" s="9">
        <v>21.42</v>
      </c>
      <c r="H30" s="9">
        <v>22.98</v>
      </c>
      <c r="I30" s="9">
        <v>23.93</v>
      </c>
      <c r="J30" s="9">
        <v>24.9</v>
      </c>
      <c r="K30" s="9">
        <v>24.78</v>
      </c>
      <c r="L30" s="9">
        <v>25.35</v>
      </c>
      <c r="M30" s="9">
        <v>23.56</v>
      </c>
      <c r="N30" s="9">
        <v>22.3</v>
      </c>
      <c r="O30" s="10">
        <v>22.53</v>
      </c>
    </row>
    <row r="31" spans="1:15" x14ac:dyDescent="0.2">
      <c r="A31" s="11" t="s">
        <v>28</v>
      </c>
      <c r="B31" s="12">
        <v>2024</v>
      </c>
      <c r="C31" s="12">
        <v>21.4</v>
      </c>
      <c r="D31" s="12">
        <v>21.18</v>
      </c>
      <c r="E31" s="12">
        <v>20.13</v>
      </c>
      <c r="F31" s="12">
        <v>20.77</v>
      </c>
      <c r="G31" s="12">
        <v>21.21</v>
      </c>
      <c r="H31" s="12">
        <v>22.43</v>
      </c>
      <c r="I31" s="12">
        <v>23.4</v>
      </c>
      <c r="J31" s="12">
        <v>24.36</v>
      </c>
      <c r="K31" s="12">
        <v>23.88</v>
      </c>
      <c r="L31" s="12">
        <v>23.82</v>
      </c>
      <c r="M31" s="12">
        <v>22.55</v>
      </c>
      <c r="N31" s="12">
        <v>21.67</v>
      </c>
      <c r="O31" s="13">
        <v>22.24</v>
      </c>
    </row>
    <row r="32" spans="1:15" x14ac:dyDescent="0.2">
      <c r="A32" s="8" t="s">
        <v>29</v>
      </c>
      <c r="B32" s="9">
        <v>2010</v>
      </c>
      <c r="C32" s="9">
        <v>22.32</v>
      </c>
      <c r="D32" s="9">
        <v>22.3</v>
      </c>
      <c r="E32" s="9">
        <v>21.41</v>
      </c>
      <c r="F32" s="9">
        <v>21.67</v>
      </c>
      <c r="G32" s="9">
        <v>21.64</v>
      </c>
      <c r="H32" s="9">
        <v>21.84</v>
      </c>
      <c r="I32" s="9">
        <v>23.06</v>
      </c>
      <c r="J32" s="9">
        <v>24.26</v>
      </c>
      <c r="K32" s="9">
        <v>24.48</v>
      </c>
      <c r="L32" s="9">
        <v>24.89</v>
      </c>
      <c r="M32" s="9">
        <v>23.59</v>
      </c>
      <c r="N32" s="9">
        <v>23.8</v>
      </c>
      <c r="O32" s="10">
        <v>24.89</v>
      </c>
    </row>
    <row r="33" spans="1:15" x14ac:dyDescent="0.2">
      <c r="A33" s="11" t="s">
        <v>29</v>
      </c>
      <c r="B33" s="12">
        <v>2011</v>
      </c>
      <c r="C33" s="12">
        <v>21.42</v>
      </c>
      <c r="D33" s="12">
        <v>19.91</v>
      </c>
      <c r="E33" s="12">
        <v>20.07</v>
      </c>
      <c r="F33" s="12">
        <v>20.12</v>
      </c>
      <c r="G33" s="12">
        <v>20.82</v>
      </c>
      <c r="H33" s="12">
        <v>21.74</v>
      </c>
      <c r="I33" s="12">
        <v>22.83</v>
      </c>
      <c r="J33" s="12">
        <v>24.02</v>
      </c>
      <c r="K33" s="12">
        <v>24.79</v>
      </c>
      <c r="L33" s="12">
        <v>25.18</v>
      </c>
      <c r="M33" s="12">
        <v>23.76</v>
      </c>
      <c r="N33" s="12">
        <v>22.05</v>
      </c>
      <c r="O33" s="13">
        <v>25.18</v>
      </c>
    </row>
    <row r="34" spans="1:15" x14ac:dyDescent="0.2">
      <c r="A34" s="8" t="s">
        <v>29</v>
      </c>
      <c r="B34" s="9">
        <v>2012</v>
      </c>
      <c r="C34" s="9">
        <v>20.6</v>
      </c>
      <c r="D34" s="9">
        <v>19.399999999999999</v>
      </c>
      <c r="E34" s="9">
        <v>19.78</v>
      </c>
      <c r="F34" s="9">
        <v>20.16</v>
      </c>
      <c r="G34" s="9">
        <v>22.14</v>
      </c>
      <c r="H34" s="9">
        <v>24.22</v>
      </c>
      <c r="I34" s="9">
        <v>24.44</v>
      </c>
      <c r="J34" s="9">
        <v>25.43</v>
      </c>
      <c r="K34" s="9">
        <v>26.15</v>
      </c>
      <c r="L34" s="9">
        <v>25.12</v>
      </c>
      <c r="M34" s="9">
        <v>24.84</v>
      </c>
      <c r="N34" s="9">
        <v>22.13</v>
      </c>
      <c r="O34" s="10">
        <v>26.15</v>
      </c>
    </row>
    <row r="35" spans="1:15" x14ac:dyDescent="0.2">
      <c r="A35" s="11" t="s">
        <v>29</v>
      </c>
      <c r="B35" s="12">
        <v>2013</v>
      </c>
      <c r="C35" s="12">
        <v>21.06</v>
      </c>
      <c r="D35" s="12">
        <v>20.49</v>
      </c>
      <c r="E35" s="12">
        <v>20.97</v>
      </c>
      <c r="F35" s="12">
        <v>22.04</v>
      </c>
      <c r="G35" s="12">
        <v>22.21</v>
      </c>
      <c r="H35" s="12">
        <v>22.11</v>
      </c>
      <c r="I35" s="12">
        <v>24.1</v>
      </c>
      <c r="J35" s="12">
        <v>24.41</v>
      </c>
      <c r="K35" s="12">
        <v>25.25</v>
      </c>
      <c r="L35" s="12">
        <v>24.96</v>
      </c>
      <c r="M35" s="12">
        <v>23.26</v>
      </c>
      <c r="N35" s="12">
        <v>23.23</v>
      </c>
      <c r="O35" s="13">
        <v>25.25</v>
      </c>
    </row>
    <row r="36" spans="1:15" x14ac:dyDescent="0.2">
      <c r="A36" s="8" t="s">
        <v>29</v>
      </c>
      <c r="B36" s="9">
        <v>2014</v>
      </c>
      <c r="C36" s="9">
        <v>20.36</v>
      </c>
      <c r="D36" s="9">
        <v>20.32</v>
      </c>
      <c r="E36" s="9">
        <v>19.66</v>
      </c>
      <c r="F36" s="9">
        <v>20.27</v>
      </c>
      <c r="G36" s="9">
        <v>20.96</v>
      </c>
      <c r="H36" s="9">
        <v>22.52</v>
      </c>
      <c r="I36" s="9">
        <v>24.8</v>
      </c>
      <c r="J36" s="9">
        <v>24.82</v>
      </c>
      <c r="K36" s="9">
        <v>25.8</v>
      </c>
      <c r="L36" s="9">
        <v>25.17</v>
      </c>
      <c r="M36" s="9">
        <v>23.37</v>
      </c>
      <c r="N36" s="9">
        <v>21.68</v>
      </c>
      <c r="O36" s="10">
        <v>25.8</v>
      </c>
    </row>
    <row r="37" spans="1:15" x14ac:dyDescent="0.2">
      <c r="A37" s="11" t="s">
        <v>29</v>
      </c>
      <c r="B37" s="12">
        <v>2015</v>
      </c>
      <c r="C37" s="12">
        <v>20.6</v>
      </c>
      <c r="D37" s="12">
        <v>19.399999999999999</v>
      </c>
      <c r="E37" s="12">
        <v>19.170000000000002</v>
      </c>
      <c r="F37" s="12">
        <v>20.23</v>
      </c>
      <c r="G37" s="12">
        <v>21.53</v>
      </c>
      <c r="H37" s="12">
        <v>23.28</v>
      </c>
      <c r="I37" s="12">
        <v>24.68</v>
      </c>
      <c r="J37" s="12">
        <v>25.83</v>
      </c>
      <c r="K37" s="12">
        <v>26.33</v>
      </c>
      <c r="L37" s="12">
        <v>25.66</v>
      </c>
      <c r="M37" s="12">
        <v>23.76</v>
      </c>
      <c r="N37" s="12">
        <v>22.78</v>
      </c>
      <c r="O37" s="13">
        <v>26.33</v>
      </c>
    </row>
    <row r="38" spans="1:15" x14ac:dyDescent="0.2">
      <c r="A38" s="8" t="s">
        <v>29</v>
      </c>
      <c r="B38" s="9">
        <v>2016</v>
      </c>
      <c r="C38" s="9">
        <v>22.4</v>
      </c>
      <c r="D38" s="9">
        <v>20.85</v>
      </c>
      <c r="E38" s="9">
        <v>19.96</v>
      </c>
      <c r="F38" s="9">
        <v>21.39</v>
      </c>
      <c r="G38" s="9">
        <v>21.47</v>
      </c>
      <c r="H38" s="9">
        <v>23.69</v>
      </c>
      <c r="I38" s="9">
        <v>23.25</v>
      </c>
      <c r="J38" s="9">
        <v>24.4</v>
      </c>
      <c r="K38" s="9">
        <v>24.45</v>
      </c>
      <c r="L38" s="9">
        <v>24.42</v>
      </c>
      <c r="M38" s="9">
        <v>23.13</v>
      </c>
      <c r="N38" s="9">
        <v>22.57</v>
      </c>
      <c r="O38" s="10">
        <v>24.45</v>
      </c>
    </row>
    <row r="39" spans="1:15" x14ac:dyDescent="0.2">
      <c r="A39" s="11" t="s">
        <v>29</v>
      </c>
      <c r="B39" s="12">
        <v>2017</v>
      </c>
      <c r="C39" s="12">
        <v>20.89</v>
      </c>
      <c r="D39" s="12">
        <v>20.23</v>
      </c>
      <c r="E39" s="12">
        <v>19.809999999999999</v>
      </c>
      <c r="F39" s="12">
        <v>21.62</v>
      </c>
      <c r="G39" s="12">
        <v>22.29</v>
      </c>
      <c r="H39" s="12">
        <v>22.95</v>
      </c>
      <c r="I39" s="12">
        <v>23.53</v>
      </c>
      <c r="J39" s="12">
        <v>24.47</v>
      </c>
      <c r="K39" s="12">
        <v>24.21</v>
      </c>
      <c r="L39" s="12">
        <v>24.76</v>
      </c>
      <c r="M39" s="12">
        <v>23.76</v>
      </c>
      <c r="N39" s="12">
        <v>22.55</v>
      </c>
      <c r="O39" s="13">
        <v>24.76</v>
      </c>
    </row>
    <row r="40" spans="1:15" x14ac:dyDescent="0.2">
      <c r="A40" s="8" t="s">
        <v>29</v>
      </c>
      <c r="B40" s="9">
        <v>2018</v>
      </c>
      <c r="C40" s="9">
        <v>20.85</v>
      </c>
      <c r="D40" s="9">
        <v>19.920000000000002</v>
      </c>
      <c r="E40" s="9">
        <v>20.100000000000001</v>
      </c>
      <c r="F40" s="9">
        <v>20.21</v>
      </c>
      <c r="G40" s="9">
        <v>20.18</v>
      </c>
      <c r="H40" s="9">
        <v>22.84</v>
      </c>
      <c r="I40" s="9">
        <v>23.67</v>
      </c>
      <c r="J40" s="9">
        <v>24.17</v>
      </c>
      <c r="K40" s="9">
        <v>24.77</v>
      </c>
      <c r="L40" s="9">
        <v>25.22</v>
      </c>
      <c r="M40" s="9">
        <v>23.37</v>
      </c>
      <c r="N40" s="9">
        <v>21.95</v>
      </c>
      <c r="O40" s="10">
        <v>25.22</v>
      </c>
    </row>
    <row r="41" spans="1:15" x14ac:dyDescent="0.2">
      <c r="A41" s="11" t="s">
        <v>29</v>
      </c>
      <c r="B41" s="12">
        <v>2019</v>
      </c>
      <c r="C41" s="12">
        <v>21.27</v>
      </c>
      <c r="D41" s="12">
        <v>20.52</v>
      </c>
      <c r="E41" s="12">
        <v>20.03</v>
      </c>
      <c r="F41" s="12">
        <v>20.05</v>
      </c>
      <c r="G41" s="12">
        <v>21.43</v>
      </c>
      <c r="H41" s="12">
        <v>23.53</v>
      </c>
      <c r="I41" s="12">
        <v>24.13</v>
      </c>
      <c r="J41" s="12">
        <v>25.34</v>
      </c>
      <c r="K41" s="12">
        <v>24.94</v>
      </c>
      <c r="L41" s="12">
        <v>24.58</v>
      </c>
      <c r="M41" s="12">
        <v>23.97</v>
      </c>
      <c r="N41" s="12">
        <v>22.3</v>
      </c>
      <c r="O41" s="13">
        <v>25.34</v>
      </c>
    </row>
    <row r="42" spans="1:15" x14ac:dyDescent="0.2">
      <c r="A42" s="8" t="s">
        <v>29</v>
      </c>
      <c r="B42" s="9">
        <v>2020</v>
      </c>
      <c r="C42" s="9">
        <v>20.84</v>
      </c>
      <c r="D42" s="9">
        <v>21.26</v>
      </c>
      <c r="E42" s="9">
        <v>20.63</v>
      </c>
      <c r="F42" s="9">
        <v>21.32</v>
      </c>
      <c r="G42" s="9">
        <v>21.74</v>
      </c>
      <c r="H42" s="9">
        <v>23.04</v>
      </c>
      <c r="I42" s="9">
        <v>23.32</v>
      </c>
      <c r="J42" s="9">
        <v>24.44</v>
      </c>
      <c r="K42" s="9">
        <v>24.81</v>
      </c>
      <c r="L42" s="9">
        <v>25.31</v>
      </c>
      <c r="M42" s="9">
        <v>23.85</v>
      </c>
      <c r="N42" s="9">
        <v>21.79</v>
      </c>
      <c r="O42" s="10">
        <v>25.31</v>
      </c>
    </row>
    <row r="43" spans="1:15" x14ac:dyDescent="0.2">
      <c r="A43" s="11" t="s">
        <v>29</v>
      </c>
      <c r="B43" s="12">
        <v>2021</v>
      </c>
      <c r="C43" s="12">
        <v>21.79</v>
      </c>
      <c r="D43" s="12">
        <v>20.59</v>
      </c>
      <c r="E43" s="12">
        <v>20.079999999999998</v>
      </c>
      <c r="F43" s="12">
        <v>21.91</v>
      </c>
      <c r="G43" s="12">
        <v>21.5</v>
      </c>
      <c r="H43" s="12">
        <v>22.41</v>
      </c>
      <c r="I43" s="12">
        <v>23.66</v>
      </c>
      <c r="J43" s="12">
        <v>25.25</v>
      </c>
      <c r="K43" s="12">
        <v>25.69</v>
      </c>
      <c r="L43" s="12">
        <v>24.74</v>
      </c>
      <c r="M43" s="12">
        <v>23.52</v>
      </c>
      <c r="N43" s="12">
        <v>22.06</v>
      </c>
      <c r="O43" s="13">
        <v>25.69</v>
      </c>
    </row>
    <row r="44" spans="1:15" x14ac:dyDescent="0.2">
      <c r="A44" s="8" t="s">
        <v>29</v>
      </c>
      <c r="B44" s="9">
        <v>2022</v>
      </c>
      <c r="C44" s="9">
        <v>21.5</v>
      </c>
      <c r="D44" s="9">
        <v>20.83</v>
      </c>
      <c r="E44" s="9">
        <v>20.32</v>
      </c>
      <c r="F44" s="9">
        <v>20.69</v>
      </c>
      <c r="G44" s="9">
        <v>21.88</v>
      </c>
      <c r="H44" s="9">
        <v>22.55</v>
      </c>
      <c r="I44" s="9">
        <v>23.13</v>
      </c>
      <c r="J44" s="9">
        <v>23.84</v>
      </c>
      <c r="K44" s="9">
        <v>25.46</v>
      </c>
      <c r="L44" s="9">
        <v>24.65</v>
      </c>
      <c r="M44" s="9">
        <v>24.04</v>
      </c>
      <c r="N44" s="9">
        <v>23.32</v>
      </c>
      <c r="O44" s="10">
        <v>25.46</v>
      </c>
    </row>
    <row r="45" spans="1:15" x14ac:dyDescent="0.2">
      <c r="A45" s="11" t="s">
        <v>29</v>
      </c>
      <c r="B45" s="12">
        <v>2023</v>
      </c>
      <c r="C45" s="12">
        <v>21.69</v>
      </c>
      <c r="D45" s="12">
        <v>21.16</v>
      </c>
      <c r="E45" s="12">
        <v>22.21</v>
      </c>
      <c r="F45" s="12">
        <v>22.94</v>
      </c>
      <c r="G45" s="12">
        <v>23.49</v>
      </c>
      <c r="H45" s="12">
        <v>24.58</v>
      </c>
      <c r="I45" s="12">
        <v>25.02</v>
      </c>
      <c r="J45" s="12">
        <v>25.87</v>
      </c>
      <c r="K45" s="12">
        <v>25.87</v>
      </c>
      <c r="L45" s="12">
        <v>26.89</v>
      </c>
      <c r="M45" s="12">
        <v>25.16</v>
      </c>
      <c r="N45" s="12">
        <v>23.5</v>
      </c>
      <c r="O45" s="13">
        <v>26.89</v>
      </c>
    </row>
    <row r="46" spans="1:15" x14ac:dyDescent="0.2">
      <c r="A46" s="8" t="s">
        <v>29</v>
      </c>
      <c r="B46" s="9">
        <v>2024</v>
      </c>
      <c r="C46" s="9">
        <v>23.01</v>
      </c>
      <c r="D46" s="9">
        <v>22.37</v>
      </c>
      <c r="E46" s="9">
        <v>21.66</v>
      </c>
      <c r="F46" s="9">
        <v>22.06</v>
      </c>
      <c r="G46" s="9">
        <v>23.16</v>
      </c>
      <c r="H46" s="9">
        <v>23.62</v>
      </c>
      <c r="I46" s="9">
        <v>25.16</v>
      </c>
      <c r="J46" s="9">
        <v>25.14</v>
      </c>
      <c r="K46" s="9">
        <v>24.99</v>
      </c>
      <c r="L46" s="9">
        <v>25.31</v>
      </c>
      <c r="M46" s="9">
        <v>24.18</v>
      </c>
      <c r="N46" s="9">
        <v>23.54</v>
      </c>
      <c r="O46" s="10">
        <v>25.31</v>
      </c>
    </row>
    <row r="47" spans="1:15" x14ac:dyDescent="0.2">
      <c r="A47" s="11" t="s">
        <v>30</v>
      </c>
      <c r="B47" s="12">
        <v>2010</v>
      </c>
      <c r="C47" s="12">
        <v>19.07</v>
      </c>
      <c r="D47" s="12">
        <v>18.07</v>
      </c>
      <c r="E47" s="12">
        <v>17.91</v>
      </c>
      <c r="F47" s="12">
        <v>18.52</v>
      </c>
      <c r="G47" s="12">
        <v>18.809999999999999</v>
      </c>
      <c r="H47" s="12">
        <v>20.32</v>
      </c>
      <c r="I47" s="12">
        <v>20.9</v>
      </c>
      <c r="J47" s="12">
        <v>22.3</v>
      </c>
      <c r="K47" s="12">
        <v>22.75</v>
      </c>
      <c r="L47" s="12">
        <v>21.95</v>
      </c>
      <c r="M47" s="12">
        <v>19.61</v>
      </c>
      <c r="N47" s="12">
        <v>19.260000000000002</v>
      </c>
      <c r="O47" s="13">
        <v>17.91</v>
      </c>
    </row>
    <row r="48" spans="1:15" x14ac:dyDescent="0.2">
      <c r="A48" s="8" t="s">
        <v>30</v>
      </c>
      <c r="B48" s="9">
        <v>2011</v>
      </c>
      <c r="C48" s="9">
        <v>16.739999999999998</v>
      </c>
      <c r="D48" s="9">
        <v>17.399999999999999</v>
      </c>
      <c r="E48" s="9">
        <v>16.34</v>
      </c>
      <c r="F48" s="9">
        <v>17.309999999999999</v>
      </c>
      <c r="G48" s="9">
        <v>18.25</v>
      </c>
      <c r="H48" s="9">
        <v>19.03</v>
      </c>
      <c r="I48" s="9">
        <v>20.13</v>
      </c>
      <c r="J48" s="9">
        <v>21.72</v>
      </c>
      <c r="K48" s="9">
        <v>23.02</v>
      </c>
      <c r="L48" s="9">
        <v>22.17</v>
      </c>
      <c r="M48" s="9">
        <v>20.63</v>
      </c>
      <c r="N48" s="9">
        <v>19.79</v>
      </c>
      <c r="O48" s="10">
        <v>16.34</v>
      </c>
    </row>
    <row r="49" spans="1:15" x14ac:dyDescent="0.2">
      <c r="A49" s="11" t="s">
        <v>30</v>
      </c>
      <c r="B49" s="12">
        <v>2012</v>
      </c>
      <c r="C49" s="12">
        <v>18.010000000000002</v>
      </c>
      <c r="D49" s="12">
        <v>17.02</v>
      </c>
      <c r="E49" s="12">
        <v>17.079999999999998</v>
      </c>
      <c r="F49" s="12">
        <v>17.3</v>
      </c>
      <c r="G49" s="12">
        <v>17.28</v>
      </c>
      <c r="H49" s="12">
        <v>21.62</v>
      </c>
      <c r="I49" s="12">
        <v>21.9</v>
      </c>
      <c r="J49" s="12">
        <v>22.74</v>
      </c>
      <c r="K49" s="12">
        <v>23.83</v>
      </c>
      <c r="L49" s="12">
        <v>22.41</v>
      </c>
      <c r="M49" s="12">
        <v>20.47</v>
      </c>
      <c r="N49" s="12">
        <v>18.95</v>
      </c>
      <c r="O49" s="13">
        <v>17.02</v>
      </c>
    </row>
    <row r="50" spans="1:15" x14ac:dyDescent="0.2">
      <c r="A50" s="8" t="s">
        <v>30</v>
      </c>
      <c r="B50" s="9">
        <v>2013</v>
      </c>
      <c r="C50" s="9">
        <v>18.04</v>
      </c>
      <c r="D50" s="9">
        <v>17.75</v>
      </c>
      <c r="E50" s="9">
        <v>17.54</v>
      </c>
      <c r="F50" s="9">
        <v>18.32</v>
      </c>
      <c r="G50" s="9">
        <v>19.100000000000001</v>
      </c>
      <c r="H50" s="9">
        <v>19.3</v>
      </c>
      <c r="I50" s="9">
        <v>20.350000000000001</v>
      </c>
      <c r="J50" s="9">
        <v>22.28</v>
      </c>
      <c r="K50" s="9">
        <v>22.53</v>
      </c>
      <c r="L50" s="9">
        <v>22.07</v>
      </c>
      <c r="M50" s="9">
        <v>20.54</v>
      </c>
      <c r="N50" s="9">
        <v>18.809999999999999</v>
      </c>
      <c r="O50" s="10">
        <v>17.54</v>
      </c>
    </row>
    <row r="51" spans="1:15" x14ac:dyDescent="0.2">
      <c r="A51" s="11" t="s">
        <v>30</v>
      </c>
      <c r="B51" s="12">
        <v>2014</v>
      </c>
      <c r="C51" s="12">
        <v>17.739999999999998</v>
      </c>
      <c r="D51" s="12">
        <v>16.75</v>
      </c>
      <c r="E51" s="12">
        <v>17.2</v>
      </c>
      <c r="F51" s="12">
        <v>17.93</v>
      </c>
      <c r="G51" s="12">
        <v>18.87</v>
      </c>
      <c r="H51" s="12">
        <v>19.68</v>
      </c>
      <c r="I51" s="12">
        <v>21.38</v>
      </c>
      <c r="J51" s="12">
        <v>22.93</v>
      </c>
      <c r="K51" s="12">
        <v>22.77</v>
      </c>
      <c r="L51" s="12">
        <v>21.88</v>
      </c>
      <c r="M51" s="12">
        <v>19.5</v>
      </c>
      <c r="N51" s="12">
        <v>18.29</v>
      </c>
      <c r="O51" s="13">
        <v>16.75</v>
      </c>
    </row>
    <row r="52" spans="1:15" x14ac:dyDescent="0.2">
      <c r="A52" s="8" t="s">
        <v>30</v>
      </c>
      <c r="B52" s="9">
        <v>2015</v>
      </c>
      <c r="C52" s="9">
        <v>17.829999999999998</v>
      </c>
      <c r="D52" s="9">
        <v>16.82</v>
      </c>
      <c r="E52" s="9">
        <v>16.829999999999998</v>
      </c>
      <c r="F52" s="9">
        <v>17.190000000000001</v>
      </c>
      <c r="G52" s="9">
        <v>17.96</v>
      </c>
      <c r="H52" s="9">
        <v>19.48</v>
      </c>
      <c r="I52" s="9">
        <v>21.91</v>
      </c>
      <c r="J52" s="9">
        <v>22.96</v>
      </c>
      <c r="K52" s="9">
        <v>23.04</v>
      </c>
      <c r="L52" s="9">
        <v>21.28</v>
      </c>
      <c r="M52" s="9">
        <v>20.02</v>
      </c>
      <c r="N52" s="9">
        <v>18.89</v>
      </c>
      <c r="O52" s="10">
        <v>16.82</v>
      </c>
    </row>
    <row r="53" spans="1:15" x14ac:dyDescent="0.2">
      <c r="A53" s="11" t="s">
        <v>30</v>
      </c>
      <c r="B53" s="12">
        <v>2016</v>
      </c>
      <c r="C53" s="12">
        <v>19.2</v>
      </c>
      <c r="D53" s="12">
        <v>17.829999999999998</v>
      </c>
      <c r="E53" s="12">
        <v>17.36</v>
      </c>
      <c r="F53" s="12">
        <v>17.57</v>
      </c>
      <c r="G53" s="12">
        <v>18.899999999999999</v>
      </c>
      <c r="H53" s="12">
        <v>19.87</v>
      </c>
      <c r="I53" s="12">
        <v>21.18</v>
      </c>
      <c r="J53" s="12">
        <v>22.33</v>
      </c>
      <c r="K53" s="12">
        <v>22.91</v>
      </c>
      <c r="L53" s="12">
        <v>21.99</v>
      </c>
      <c r="M53" s="12">
        <v>19.23</v>
      </c>
      <c r="N53" s="12">
        <v>18.78</v>
      </c>
      <c r="O53" s="13">
        <v>17.36</v>
      </c>
    </row>
    <row r="54" spans="1:15" x14ac:dyDescent="0.2">
      <c r="A54" s="8" t="s">
        <v>30</v>
      </c>
      <c r="B54" s="9">
        <v>2017</v>
      </c>
      <c r="C54" s="9">
        <v>17.510000000000002</v>
      </c>
      <c r="D54" s="9">
        <v>17.79</v>
      </c>
      <c r="E54" s="9">
        <v>17.23</v>
      </c>
      <c r="F54" s="9">
        <v>18.59</v>
      </c>
      <c r="G54" s="9">
        <v>19.36</v>
      </c>
      <c r="H54" s="9">
        <v>20.96</v>
      </c>
      <c r="I54" s="9">
        <v>21.33</v>
      </c>
      <c r="J54" s="9">
        <v>22.44</v>
      </c>
      <c r="K54" s="9">
        <v>22.84</v>
      </c>
      <c r="L54" s="9">
        <v>22.23</v>
      </c>
      <c r="M54" s="9">
        <v>20.6</v>
      </c>
      <c r="N54" s="9">
        <v>19.28</v>
      </c>
      <c r="O54" s="10">
        <v>17.23</v>
      </c>
    </row>
    <row r="55" spans="1:15" x14ac:dyDescent="0.2">
      <c r="A55" s="11" t="s">
        <v>30</v>
      </c>
      <c r="B55" s="12">
        <v>2018</v>
      </c>
      <c r="C55" s="12">
        <v>18.579999999999998</v>
      </c>
      <c r="D55" s="12">
        <v>16.43</v>
      </c>
      <c r="E55" s="12">
        <v>17.7</v>
      </c>
      <c r="F55" s="12">
        <v>17.739999999999998</v>
      </c>
      <c r="G55" s="12">
        <v>18.149999999999999</v>
      </c>
      <c r="H55" s="12">
        <v>18.7</v>
      </c>
      <c r="I55" s="12">
        <v>21.3</v>
      </c>
      <c r="J55" s="12">
        <v>22.69</v>
      </c>
      <c r="K55" s="12">
        <v>22.3</v>
      </c>
      <c r="L55" s="12">
        <v>21.62</v>
      </c>
      <c r="M55" s="12">
        <v>19.579999999999998</v>
      </c>
      <c r="N55" s="12">
        <v>19.420000000000002</v>
      </c>
      <c r="O55" s="13">
        <v>16.43</v>
      </c>
    </row>
    <row r="56" spans="1:15" x14ac:dyDescent="0.2">
      <c r="A56" s="8" t="s">
        <v>30</v>
      </c>
      <c r="B56" s="9">
        <v>2019</v>
      </c>
      <c r="C56" s="9">
        <v>18.489999999999998</v>
      </c>
      <c r="D56" s="9">
        <v>18.09</v>
      </c>
      <c r="E56" s="9">
        <v>17.170000000000002</v>
      </c>
      <c r="F56" s="9">
        <v>16.96</v>
      </c>
      <c r="G56" s="9">
        <v>18.39</v>
      </c>
      <c r="H56" s="9">
        <v>19.39</v>
      </c>
      <c r="I56" s="9">
        <v>20.86</v>
      </c>
      <c r="J56" s="9">
        <v>22.89</v>
      </c>
      <c r="K56" s="9">
        <v>22.55</v>
      </c>
      <c r="L56" s="9">
        <v>21.44</v>
      </c>
      <c r="M56" s="9">
        <v>20.04</v>
      </c>
      <c r="N56" s="9">
        <v>19.79</v>
      </c>
      <c r="O56" s="10">
        <v>16.96</v>
      </c>
    </row>
    <row r="57" spans="1:15" x14ac:dyDescent="0.2">
      <c r="A57" s="11" t="s">
        <v>30</v>
      </c>
      <c r="B57" s="12">
        <v>2020</v>
      </c>
      <c r="C57" s="12">
        <v>18.14</v>
      </c>
      <c r="D57" s="12">
        <v>18.39</v>
      </c>
      <c r="E57" s="12">
        <v>17.920000000000002</v>
      </c>
      <c r="F57" s="12">
        <v>18.59</v>
      </c>
      <c r="G57" s="12">
        <v>19.350000000000001</v>
      </c>
      <c r="H57" s="12">
        <v>20.27</v>
      </c>
      <c r="I57" s="12">
        <v>21.94</v>
      </c>
      <c r="J57" s="12">
        <v>22.52</v>
      </c>
      <c r="K57" s="12">
        <v>22.71</v>
      </c>
      <c r="L57" s="12">
        <v>22.08</v>
      </c>
      <c r="M57" s="12">
        <v>19.95</v>
      </c>
      <c r="N57" s="12">
        <v>18.68</v>
      </c>
      <c r="O57" s="13">
        <v>17.920000000000002</v>
      </c>
    </row>
    <row r="58" spans="1:15" x14ac:dyDescent="0.2">
      <c r="A58" s="8" t="s">
        <v>30</v>
      </c>
      <c r="B58" s="9">
        <v>2021</v>
      </c>
      <c r="C58" s="9">
        <v>18.239999999999998</v>
      </c>
      <c r="D58" s="9">
        <v>17.71</v>
      </c>
      <c r="E58" s="9">
        <v>17.649999999999999</v>
      </c>
      <c r="F58" s="9">
        <v>18.600000000000001</v>
      </c>
      <c r="G58" s="9">
        <v>18.84</v>
      </c>
      <c r="H58" s="9">
        <v>20.12</v>
      </c>
      <c r="I58" s="9">
        <v>21.6</v>
      </c>
      <c r="J58" s="9">
        <v>22.04</v>
      </c>
      <c r="K58" s="9">
        <v>23.36</v>
      </c>
      <c r="L58" s="9">
        <v>20.87</v>
      </c>
      <c r="M58" s="9">
        <v>20.309999999999999</v>
      </c>
      <c r="N58" s="9">
        <v>18.88</v>
      </c>
      <c r="O58" s="10">
        <v>17.649999999999999</v>
      </c>
    </row>
    <row r="59" spans="1:15" x14ac:dyDescent="0.2">
      <c r="A59" s="11" t="s">
        <v>30</v>
      </c>
      <c r="B59" s="12">
        <v>2022</v>
      </c>
      <c r="C59" s="12">
        <v>18</v>
      </c>
      <c r="D59" s="12">
        <v>18.579999999999998</v>
      </c>
      <c r="E59" s="12">
        <v>17.77</v>
      </c>
      <c r="F59" s="12">
        <v>17.89</v>
      </c>
      <c r="G59" s="12">
        <v>18.600000000000001</v>
      </c>
      <c r="H59" s="12">
        <v>20.239999999999998</v>
      </c>
      <c r="I59" s="12">
        <v>21.06</v>
      </c>
      <c r="J59" s="12">
        <v>22.24</v>
      </c>
      <c r="K59" s="12">
        <v>23.1</v>
      </c>
      <c r="L59" s="12">
        <v>21.54</v>
      </c>
      <c r="M59" s="12">
        <v>21.63</v>
      </c>
      <c r="N59" s="12">
        <v>18.510000000000002</v>
      </c>
      <c r="O59" s="13">
        <v>17.77</v>
      </c>
    </row>
    <row r="60" spans="1:15" x14ac:dyDescent="0.2">
      <c r="A60" s="8" t="s">
        <v>30</v>
      </c>
      <c r="B60" s="9">
        <v>2023</v>
      </c>
      <c r="C60" s="9">
        <v>19.170000000000002</v>
      </c>
      <c r="D60" s="9">
        <v>17.87</v>
      </c>
      <c r="E60" s="9">
        <v>19.100000000000001</v>
      </c>
      <c r="F60" s="9">
        <v>19.100000000000001</v>
      </c>
      <c r="G60" s="9">
        <v>19.489999999999998</v>
      </c>
      <c r="H60" s="9">
        <v>20.69</v>
      </c>
      <c r="I60" s="9">
        <v>22.65</v>
      </c>
      <c r="J60" s="9">
        <v>24.16</v>
      </c>
      <c r="K60" s="9">
        <v>23.4</v>
      </c>
      <c r="L60" s="9">
        <v>23.61</v>
      </c>
      <c r="M60" s="9">
        <v>22.49</v>
      </c>
      <c r="N60" s="9">
        <v>20.28</v>
      </c>
      <c r="O60" s="10">
        <v>17.87</v>
      </c>
    </row>
    <row r="61" spans="1:15" x14ac:dyDescent="0.2">
      <c r="A61" s="2" t="s">
        <v>30</v>
      </c>
      <c r="B61" s="3">
        <v>2024</v>
      </c>
      <c r="C61" s="3">
        <v>19.87</v>
      </c>
      <c r="D61" s="3">
        <v>19.579999999999998</v>
      </c>
      <c r="E61" s="3">
        <v>18.420000000000002</v>
      </c>
      <c r="F61" s="3">
        <v>18.899999999999999</v>
      </c>
      <c r="G61" s="3">
        <v>19.96</v>
      </c>
      <c r="H61" s="3">
        <v>21.5</v>
      </c>
      <c r="I61" s="3">
        <v>21.83</v>
      </c>
      <c r="J61" s="3">
        <v>23.53</v>
      </c>
      <c r="K61" s="3">
        <v>22.67</v>
      </c>
      <c r="L61" s="3">
        <v>21.32</v>
      </c>
      <c r="M61" s="3">
        <v>21.12</v>
      </c>
      <c r="N61" s="3">
        <v>19.72</v>
      </c>
      <c r="O61" s="4">
        <v>18.420000000000002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C945-8B72-7248-9BD0-638C0038C297}">
  <dimension ref="A1:R61"/>
  <sheetViews>
    <sheetView workbookViewId="0">
      <pane ySplit="1" topLeftCell="A2" activePane="bottomLeft" state="frozen"/>
      <selection pane="bottomLeft" activeCell="P20" sqref="P20"/>
    </sheetView>
  </sheetViews>
  <sheetFormatPr baseColWidth="10" defaultRowHeight="16" x14ac:dyDescent="0.2"/>
  <cols>
    <col min="1" max="1" width="23.1640625" bestFit="1" customWidth="1"/>
  </cols>
  <sheetData>
    <row r="1" spans="1:18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</row>
    <row r="2" spans="1:18" x14ac:dyDescent="0.2">
      <c r="A2" t="s">
        <v>31</v>
      </c>
      <c r="B2">
        <v>2010</v>
      </c>
      <c r="C2">
        <v>57.21</v>
      </c>
      <c r="D2">
        <v>39.97</v>
      </c>
      <c r="E2">
        <v>20.55</v>
      </c>
      <c r="F2">
        <v>23.36</v>
      </c>
      <c r="G2">
        <v>2.99</v>
      </c>
      <c r="H2">
        <v>1.33</v>
      </c>
      <c r="I2">
        <v>0.78</v>
      </c>
      <c r="J2">
        <v>2.2200000000000002</v>
      </c>
      <c r="K2">
        <v>48.86</v>
      </c>
      <c r="L2">
        <v>3.88</v>
      </c>
      <c r="M2">
        <v>70.53</v>
      </c>
      <c r="N2">
        <v>33.69</v>
      </c>
      <c r="O2">
        <v>305.37</v>
      </c>
    </row>
    <row r="3" spans="1:18" x14ac:dyDescent="0.2">
      <c r="A3" t="s">
        <v>31</v>
      </c>
      <c r="B3">
        <v>2011</v>
      </c>
      <c r="C3">
        <v>32.94</v>
      </c>
      <c r="D3">
        <v>4.46</v>
      </c>
      <c r="E3">
        <v>6.76</v>
      </c>
      <c r="F3">
        <v>7.79</v>
      </c>
      <c r="G3">
        <v>2.66</v>
      </c>
      <c r="H3">
        <v>2.99</v>
      </c>
      <c r="I3">
        <v>7.95</v>
      </c>
      <c r="J3">
        <v>9.73</v>
      </c>
      <c r="K3">
        <v>14.52</v>
      </c>
      <c r="L3">
        <v>48.8</v>
      </c>
      <c r="M3">
        <v>36.21</v>
      </c>
      <c r="N3">
        <v>6.76</v>
      </c>
      <c r="O3">
        <v>181.57</v>
      </c>
      <c r="R3" t="s">
        <v>14</v>
      </c>
    </row>
    <row r="4" spans="1:18" x14ac:dyDescent="0.2">
      <c r="A4" t="s">
        <v>27</v>
      </c>
      <c r="B4">
        <v>2012</v>
      </c>
      <c r="C4">
        <v>11.95</v>
      </c>
      <c r="D4">
        <v>17.36</v>
      </c>
      <c r="E4">
        <v>5.8</v>
      </c>
      <c r="F4">
        <v>7.69</v>
      </c>
      <c r="G4">
        <v>12.3</v>
      </c>
      <c r="H4">
        <v>0</v>
      </c>
      <c r="I4">
        <v>0.86</v>
      </c>
      <c r="J4">
        <v>1.54</v>
      </c>
      <c r="K4">
        <v>2.29</v>
      </c>
      <c r="L4">
        <v>65.17</v>
      </c>
      <c r="M4">
        <v>48.39</v>
      </c>
      <c r="N4">
        <v>18.54</v>
      </c>
      <c r="O4">
        <v>191.89</v>
      </c>
      <c r="R4" t="s">
        <v>15</v>
      </c>
    </row>
    <row r="5" spans="1:18" x14ac:dyDescent="0.2">
      <c r="A5" t="s">
        <v>27</v>
      </c>
      <c r="B5">
        <v>2013</v>
      </c>
      <c r="C5">
        <v>14.11</v>
      </c>
      <c r="D5">
        <v>20.170000000000002</v>
      </c>
      <c r="E5">
        <v>18.420000000000002</v>
      </c>
      <c r="F5">
        <v>5.6</v>
      </c>
      <c r="G5">
        <v>5.54</v>
      </c>
      <c r="H5">
        <v>2.4</v>
      </c>
      <c r="I5">
        <v>1.57</v>
      </c>
      <c r="J5">
        <v>1.81</v>
      </c>
      <c r="K5">
        <v>11.7</v>
      </c>
      <c r="L5">
        <v>9.98</v>
      </c>
      <c r="M5">
        <v>53.52</v>
      </c>
      <c r="N5">
        <v>38.18</v>
      </c>
      <c r="O5">
        <v>183</v>
      </c>
      <c r="R5" t="s">
        <v>16</v>
      </c>
    </row>
    <row r="6" spans="1:18" x14ac:dyDescent="0.2">
      <c r="A6" t="s">
        <v>27</v>
      </c>
      <c r="B6">
        <v>2014</v>
      </c>
      <c r="C6">
        <v>11.92</v>
      </c>
      <c r="D6">
        <v>3.65</v>
      </c>
      <c r="E6">
        <v>6.28</v>
      </c>
      <c r="F6">
        <v>13.36</v>
      </c>
      <c r="G6">
        <v>2.36</v>
      </c>
      <c r="H6">
        <v>2.61</v>
      </c>
      <c r="I6">
        <v>0.8</v>
      </c>
      <c r="J6">
        <v>1.33</v>
      </c>
      <c r="K6">
        <v>16.95</v>
      </c>
      <c r="L6">
        <v>15.06</v>
      </c>
      <c r="M6">
        <v>18.66</v>
      </c>
      <c r="N6">
        <v>39.99</v>
      </c>
      <c r="O6">
        <v>132.97</v>
      </c>
      <c r="R6" t="s">
        <v>17</v>
      </c>
    </row>
    <row r="7" spans="1:18" x14ac:dyDescent="0.2">
      <c r="A7" t="s">
        <v>27</v>
      </c>
      <c r="B7">
        <v>2015</v>
      </c>
      <c r="C7">
        <v>7.68</v>
      </c>
      <c r="D7">
        <v>19.72</v>
      </c>
      <c r="E7">
        <v>13.14</v>
      </c>
      <c r="F7">
        <v>2.54</v>
      </c>
      <c r="G7">
        <v>3.96</v>
      </c>
      <c r="H7">
        <v>1.43</v>
      </c>
      <c r="I7">
        <v>1.07</v>
      </c>
      <c r="J7">
        <v>13.86</v>
      </c>
      <c r="K7">
        <v>8.11</v>
      </c>
      <c r="L7">
        <v>27.99</v>
      </c>
      <c r="M7">
        <v>16.09</v>
      </c>
      <c r="N7">
        <v>4.57</v>
      </c>
      <c r="O7">
        <v>120.16</v>
      </c>
      <c r="R7" t="s">
        <v>18</v>
      </c>
    </row>
    <row r="8" spans="1:18" x14ac:dyDescent="0.2">
      <c r="A8" t="s">
        <v>27</v>
      </c>
      <c r="B8">
        <v>2016</v>
      </c>
      <c r="C8">
        <v>19.11</v>
      </c>
      <c r="D8">
        <v>27.66</v>
      </c>
      <c r="E8">
        <v>6.27</v>
      </c>
      <c r="F8">
        <v>5.23</v>
      </c>
      <c r="G8">
        <v>1.63</v>
      </c>
      <c r="H8">
        <v>1.74</v>
      </c>
      <c r="I8">
        <v>2.93</v>
      </c>
      <c r="J8">
        <v>2.27</v>
      </c>
      <c r="K8">
        <v>3.42</v>
      </c>
      <c r="L8">
        <v>21.45</v>
      </c>
      <c r="M8">
        <v>31.52</v>
      </c>
      <c r="N8">
        <v>24.13</v>
      </c>
      <c r="O8">
        <v>147.36000000000001</v>
      </c>
      <c r="R8" t="s">
        <v>19</v>
      </c>
    </row>
    <row r="9" spans="1:18" x14ac:dyDescent="0.2">
      <c r="A9" t="s">
        <v>27</v>
      </c>
      <c r="B9">
        <v>2017</v>
      </c>
      <c r="C9">
        <v>21.95</v>
      </c>
      <c r="D9">
        <v>6.16</v>
      </c>
      <c r="E9">
        <v>6.31</v>
      </c>
      <c r="F9">
        <v>8</v>
      </c>
      <c r="G9">
        <v>6.35</v>
      </c>
      <c r="H9">
        <v>1</v>
      </c>
      <c r="I9">
        <v>0.41</v>
      </c>
      <c r="J9">
        <v>4.5199999999999996</v>
      </c>
      <c r="K9">
        <v>9.1199999999999992</v>
      </c>
      <c r="L9">
        <v>17.32</v>
      </c>
      <c r="M9">
        <v>35.549999999999997</v>
      </c>
      <c r="N9">
        <v>13.7</v>
      </c>
      <c r="O9">
        <v>130.38999999999999</v>
      </c>
      <c r="R9" t="s">
        <v>20</v>
      </c>
    </row>
    <row r="10" spans="1:18" x14ac:dyDescent="0.2">
      <c r="A10" t="s">
        <v>27</v>
      </c>
      <c r="B10">
        <v>2018</v>
      </c>
      <c r="C10">
        <v>4.5199999999999996</v>
      </c>
      <c r="D10">
        <v>13.2</v>
      </c>
      <c r="E10">
        <v>9.2200000000000006</v>
      </c>
      <c r="F10">
        <v>1.32</v>
      </c>
      <c r="G10">
        <v>2.78</v>
      </c>
      <c r="H10">
        <v>2.77</v>
      </c>
      <c r="I10">
        <v>0.67</v>
      </c>
      <c r="J10">
        <v>1.36</v>
      </c>
      <c r="K10">
        <v>3.86</v>
      </c>
      <c r="L10">
        <v>44.44</v>
      </c>
      <c r="M10">
        <v>15.36</v>
      </c>
      <c r="N10">
        <v>14.23</v>
      </c>
      <c r="O10">
        <v>113.73</v>
      </c>
      <c r="R10" t="s">
        <v>21</v>
      </c>
    </row>
    <row r="11" spans="1:18" x14ac:dyDescent="0.2">
      <c r="A11" t="s">
        <v>27</v>
      </c>
      <c r="B11">
        <v>2019</v>
      </c>
      <c r="C11">
        <v>11.95</v>
      </c>
      <c r="D11">
        <v>12.25</v>
      </c>
      <c r="E11">
        <v>5.18</v>
      </c>
      <c r="F11">
        <v>9.3800000000000008</v>
      </c>
      <c r="G11">
        <v>1.44</v>
      </c>
      <c r="H11">
        <v>1.18</v>
      </c>
      <c r="I11">
        <v>0.85</v>
      </c>
      <c r="J11">
        <v>1.03</v>
      </c>
      <c r="K11">
        <v>9.5</v>
      </c>
      <c r="L11">
        <v>4.9000000000000004</v>
      </c>
      <c r="M11">
        <v>11.73</v>
      </c>
      <c r="N11">
        <v>7.18</v>
      </c>
      <c r="O11">
        <v>76.569999999999993</v>
      </c>
      <c r="R11" t="s">
        <v>22</v>
      </c>
    </row>
    <row r="12" spans="1:18" x14ac:dyDescent="0.2">
      <c r="A12" t="s">
        <v>27</v>
      </c>
      <c r="B12">
        <v>2020</v>
      </c>
      <c r="C12">
        <v>3.39</v>
      </c>
      <c r="D12">
        <v>7.72</v>
      </c>
      <c r="E12">
        <v>4.3600000000000003</v>
      </c>
      <c r="F12">
        <v>4.67</v>
      </c>
      <c r="G12">
        <v>1.7</v>
      </c>
      <c r="H12">
        <v>18.8</v>
      </c>
      <c r="I12">
        <v>1.58</v>
      </c>
      <c r="J12">
        <v>0.67</v>
      </c>
      <c r="K12">
        <v>23.32</v>
      </c>
      <c r="L12">
        <v>15.18</v>
      </c>
      <c r="M12">
        <v>23.44</v>
      </c>
      <c r="N12">
        <v>21.22</v>
      </c>
      <c r="O12">
        <v>126.05</v>
      </c>
      <c r="R12" t="s">
        <v>23</v>
      </c>
    </row>
    <row r="13" spans="1:18" x14ac:dyDescent="0.2">
      <c r="A13" t="s">
        <v>27</v>
      </c>
      <c r="B13">
        <v>2021</v>
      </c>
      <c r="C13">
        <v>46.16</v>
      </c>
      <c r="D13">
        <v>2.73</v>
      </c>
      <c r="E13">
        <v>2.99</v>
      </c>
      <c r="F13">
        <v>8.34</v>
      </c>
      <c r="G13">
        <v>1.32</v>
      </c>
      <c r="H13">
        <v>11.88</v>
      </c>
      <c r="I13">
        <v>1.87</v>
      </c>
      <c r="J13">
        <v>0.93</v>
      </c>
      <c r="K13">
        <v>9.4600000000000009</v>
      </c>
      <c r="L13">
        <v>0.85</v>
      </c>
      <c r="M13">
        <v>59.1</v>
      </c>
      <c r="N13">
        <v>6.01</v>
      </c>
      <c r="O13">
        <v>151.63999999999999</v>
      </c>
      <c r="R13" t="s">
        <v>24</v>
      </c>
    </row>
    <row r="14" spans="1:18" x14ac:dyDescent="0.2">
      <c r="A14" t="s">
        <v>27</v>
      </c>
      <c r="B14">
        <v>2022</v>
      </c>
      <c r="C14">
        <v>21.32</v>
      </c>
      <c r="D14">
        <v>8.6199999999999992</v>
      </c>
      <c r="E14">
        <v>5.59</v>
      </c>
      <c r="F14">
        <v>6.63</v>
      </c>
      <c r="G14">
        <v>3.92</v>
      </c>
      <c r="H14">
        <v>3.51</v>
      </c>
      <c r="I14">
        <v>7.83</v>
      </c>
      <c r="J14">
        <v>4.21</v>
      </c>
      <c r="K14">
        <v>22.4</v>
      </c>
      <c r="L14">
        <v>7.57</v>
      </c>
      <c r="M14">
        <v>11.4</v>
      </c>
      <c r="N14">
        <v>16.3</v>
      </c>
      <c r="O14">
        <v>119.3</v>
      </c>
      <c r="R14" t="s">
        <v>25</v>
      </c>
    </row>
    <row r="15" spans="1:18" x14ac:dyDescent="0.2">
      <c r="A15" t="s">
        <v>27</v>
      </c>
      <c r="B15">
        <v>2023</v>
      </c>
      <c r="C15">
        <v>6.12</v>
      </c>
      <c r="D15">
        <v>2.11</v>
      </c>
      <c r="E15">
        <v>2.56</v>
      </c>
      <c r="F15">
        <v>3.14</v>
      </c>
      <c r="G15">
        <v>0.9</v>
      </c>
      <c r="H15">
        <v>15.59</v>
      </c>
      <c r="I15">
        <v>0.33</v>
      </c>
      <c r="J15">
        <v>6.01</v>
      </c>
      <c r="K15">
        <v>3.4</v>
      </c>
      <c r="L15">
        <v>10.17</v>
      </c>
      <c r="M15">
        <v>14.49</v>
      </c>
      <c r="N15">
        <v>9.74</v>
      </c>
      <c r="O15">
        <v>74.56</v>
      </c>
    </row>
    <row r="16" spans="1:18" x14ac:dyDescent="0.2">
      <c r="A16" t="s">
        <v>27</v>
      </c>
      <c r="B16">
        <v>2024</v>
      </c>
      <c r="C16">
        <v>22.14</v>
      </c>
      <c r="D16">
        <v>11.35</v>
      </c>
      <c r="E16">
        <v>1.27</v>
      </c>
      <c r="F16">
        <v>3.26</v>
      </c>
      <c r="G16">
        <v>6.38</v>
      </c>
      <c r="H16">
        <v>4.1100000000000003</v>
      </c>
      <c r="I16">
        <v>0.51</v>
      </c>
      <c r="J16">
        <v>0.5</v>
      </c>
      <c r="K16">
        <v>11.15</v>
      </c>
      <c r="L16">
        <v>9.82</v>
      </c>
      <c r="M16">
        <v>28.97</v>
      </c>
      <c r="N16">
        <v>25.42</v>
      </c>
      <c r="O16">
        <v>124.88</v>
      </c>
    </row>
    <row r="17" spans="1:15" x14ac:dyDescent="0.2">
      <c r="A17" t="s">
        <v>28</v>
      </c>
      <c r="B17">
        <v>2010</v>
      </c>
      <c r="C17">
        <v>20.239999999999998</v>
      </c>
      <c r="D17">
        <v>19.95</v>
      </c>
      <c r="E17">
        <v>19.75</v>
      </c>
      <c r="F17">
        <v>20.100000000000001</v>
      </c>
      <c r="G17">
        <v>20.18</v>
      </c>
      <c r="H17">
        <v>21.13</v>
      </c>
      <c r="I17">
        <v>22.02</v>
      </c>
      <c r="J17">
        <v>23.21</v>
      </c>
      <c r="K17">
        <v>23.7</v>
      </c>
      <c r="L17">
        <v>23.47</v>
      </c>
      <c r="M17">
        <v>22.4</v>
      </c>
      <c r="N17">
        <v>21.16</v>
      </c>
      <c r="O17">
        <v>21.45</v>
      </c>
    </row>
    <row r="18" spans="1:15" x14ac:dyDescent="0.2">
      <c r="A18" t="s">
        <v>28</v>
      </c>
      <c r="B18">
        <v>2011</v>
      </c>
      <c r="C18">
        <v>19.46</v>
      </c>
      <c r="D18">
        <v>19</v>
      </c>
      <c r="E18">
        <v>18.29</v>
      </c>
      <c r="F18">
        <v>18.95</v>
      </c>
      <c r="G18">
        <v>19.670000000000002</v>
      </c>
      <c r="H18">
        <v>20.64</v>
      </c>
      <c r="I18">
        <v>21.77</v>
      </c>
      <c r="J18">
        <v>22.91</v>
      </c>
      <c r="K18">
        <v>23.91</v>
      </c>
      <c r="L18">
        <v>23.55</v>
      </c>
      <c r="M18">
        <v>21.99</v>
      </c>
      <c r="N18">
        <v>20.81</v>
      </c>
      <c r="O18">
        <v>20.92</v>
      </c>
    </row>
    <row r="19" spans="1:15" x14ac:dyDescent="0.2">
      <c r="A19" t="s">
        <v>28</v>
      </c>
      <c r="B19">
        <v>2012</v>
      </c>
      <c r="C19">
        <v>19.36</v>
      </c>
      <c r="D19">
        <v>18.23</v>
      </c>
      <c r="E19">
        <v>18.25</v>
      </c>
      <c r="F19">
        <v>18.77</v>
      </c>
      <c r="G19">
        <v>20.420000000000002</v>
      </c>
      <c r="H19">
        <v>22.71</v>
      </c>
      <c r="I19">
        <v>22.99</v>
      </c>
      <c r="J19">
        <v>23.99</v>
      </c>
      <c r="K19">
        <v>24.82</v>
      </c>
      <c r="L19">
        <v>23.99</v>
      </c>
      <c r="M19">
        <v>22.21</v>
      </c>
      <c r="N19">
        <v>20.71</v>
      </c>
      <c r="O19">
        <v>21.38</v>
      </c>
    </row>
    <row r="20" spans="1:15" x14ac:dyDescent="0.2">
      <c r="A20" t="s">
        <v>28</v>
      </c>
      <c r="B20">
        <v>2013</v>
      </c>
      <c r="C20">
        <v>19.690000000000001</v>
      </c>
      <c r="D20">
        <v>19.13</v>
      </c>
      <c r="E20">
        <v>19.5</v>
      </c>
      <c r="F20">
        <v>19.899999999999999</v>
      </c>
      <c r="G20">
        <v>20.39</v>
      </c>
      <c r="H20">
        <v>20.95</v>
      </c>
      <c r="I20">
        <v>22.13</v>
      </c>
      <c r="J20">
        <v>23.26</v>
      </c>
      <c r="K20">
        <v>23.49</v>
      </c>
      <c r="L20">
        <v>23.25</v>
      </c>
      <c r="M20">
        <v>22.02</v>
      </c>
      <c r="N20">
        <v>20.83</v>
      </c>
      <c r="O20">
        <v>21.22</v>
      </c>
    </row>
    <row r="21" spans="1:15" x14ac:dyDescent="0.2">
      <c r="A21" t="s">
        <v>28</v>
      </c>
      <c r="B21">
        <v>2014</v>
      </c>
      <c r="C21">
        <v>19.34</v>
      </c>
      <c r="D21">
        <v>18.440000000000001</v>
      </c>
      <c r="E21">
        <v>18.34</v>
      </c>
      <c r="F21">
        <v>19.23</v>
      </c>
      <c r="G21">
        <v>19.920000000000002</v>
      </c>
      <c r="H21">
        <v>21.2</v>
      </c>
      <c r="I21">
        <v>22.68</v>
      </c>
      <c r="J21">
        <v>24</v>
      </c>
      <c r="K21">
        <v>24.45</v>
      </c>
      <c r="L21">
        <v>23.48</v>
      </c>
      <c r="M21">
        <v>21.89</v>
      </c>
      <c r="N21">
        <v>20.29</v>
      </c>
      <c r="O21">
        <v>21.12</v>
      </c>
    </row>
    <row r="22" spans="1:15" x14ac:dyDescent="0.2">
      <c r="A22" t="s">
        <v>28</v>
      </c>
      <c r="B22">
        <v>2015</v>
      </c>
      <c r="C22">
        <v>18.940000000000001</v>
      </c>
      <c r="D22">
        <v>18.2</v>
      </c>
      <c r="E22">
        <v>17.98</v>
      </c>
      <c r="F22">
        <v>18.36</v>
      </c>
      <c r="G22">
        <v>20.07</v>
      </c>
      <c r="H22">
        <v>21.12</v>
      </c>
      <c r="I22">
        <v>23.22</v>
      </c>
      <c r="J22">
        <v>24.12</v>
      </c>
      <c r="K22">
        <v>24.7</v>
      </c>
      <c r="L22">
        <v>23.63</v>
      </c>
      <c r="M22">
        <v>22.43</v>
      </c>
      <c r="N22">
        <v>21.06</v>
      </c>
      <c r="O22">
        <v>21.17</v>
      </c>
    </row>
    <row r="23" spans="1:15" x14ac:dyDescent="0.2">
      <c r="A23" t="s">
        <v>28</v>
      </c>
      <c r="B23">
        <v>2016</v>
      </c>
      <c r="C23">
        <v>20.399999999999999</v>
      </c>
      <c r="D23">
        <v>19.32</v>
      </c>
      <c r="E23">
        <v>18.77</v>
      </c>
      <c r="F23">
        <v>19.41</v>
      </c>
      <c r="G23">
        <v>20.12</v>
      </c>
      <c r="H23">
        <v>22.16</v>
      </c>
      <c r="I23">
        <v>22.39</v>
      </c>
      <c r="J23">
        <v>23.39</v>
      </c>
      <c r="K23">
        <v>23.77</v>
      </c>
      <c r="L23">
        <v>23.21</v>
      </c>
      <c r="M23">
        <v>21.63</v>
      </c>
      <c r="N23">
        <v>20.56</v>
      </c>
      <c r="O23">
        <v>21.27</v>
      </c>
    </row>
    <row r="24" spans="1:15" x14ac:dyDescent="0.2">
      <c r="A24" t="s">
        <v>28</v>
      </c>
      <c r="B24">
        <v>2017</v>
      </c>
      <c r="C24">
        <v>19.420000000000002</v>
      </c>
      <c r="D24">
        <v>19.13</v>
      </c>
      <c r="E24">
        <v>18.72</v>
      </c>
      <c r="F24">
        <v>19.75</v>
      </c>
      <c r="G24">
        <v>20.77</v>
      </c>
      <c r="H24">
        <v>21.95</v>
      </c>
      <c r="I24">
        <v>22.71</v>
      </c>
      <c r="J24">
        <v>23.47</v>
      </c>
      <c r="K24">
        <v>23.63</v>
      </c>
      <c r="L24">
        <v>23.26</v>
      </c>
      <c r="M24">
        <v>22.45</v>
      </c>
      <c r="N24">
        <v>20.98</v>
      </c>
      <c r="O24">
        <v>21.37</v>
      </c>
    </row>
    <row r="25" spans="1:15" x14ac:dyDescent="0.2">
      <c r="A25" t="s">
        <v>28</v>
      </c>
      <c r="B25">
        <v>2018</v>
      </c>
      <c r="C25">
        <v>19.649999999999999</v>
      </c>
      <c r="D25">
        <v>18.57</v>
      </c>
      <c r="E25">
        <v>19</v>
      </c>
      <c r="F25">
        <v>18.920000000000002</v>
      </c>
      <c r="G25">
        <v>19.3</v>
      </c>
      <c r="H25">
        <v>20.75</v>
      </c>
      <c r="I25">
        <v>22.28</v>
      </c>
      <c r="J25">
        <v>23.46</v>
      </c>
      <c r="K25">
        <v>23.68</v>
      </c>
      <c r="L25">
        <v>23.31</v>
      </c>
      <c r="M25">
        <v>21.48</v>
      </c>
      <c r="N25">
        <v>20.76</v>
      </c>
      <c r="O25">
        <v>20.95</v>
      </c>
    </row>
    <row r="26" spans="1:15" x14ac:dyDescent="0.2">
      <c r="A26" t="s">
        <v>28</v>
      </c>
      <c r="B26">
        <v>2019</v>
      </c>
      <c r="C26">
        <v>19.68</v>
      </c>
      <c r="D26">
        <v>19.170000000000002</v>
      </c>
      <c r="E26">
        <v>18.88</v>
      </c>
      <c r="F26">
        <v>19.02</v>
      </c>
      <c r="G26">
        <v>20.34</v>
      </c>
      <c r="H26">
        <v>21.36</v>
      </c>
      <c r="I26">
        <v>22.83</v>
      </c>
      <c r="J26">
        <v>24.12</v>
      </c>
      <c r="K26">
        <v>23.7</v>
      </c>
      <c r="L26">
        <v>23.33</v>
      </c>
      <c r="M26">
        <v>22.32</v>
      </c>
      <c r="N26">
        <v>21.07</v>
      </c>
      <c r="O26">
        <v>21.33</v>
      </c>
    </row>
    <row r="27" spans="1:15" x14ac:dyDescent="0.2">
      <c r="A27" t="s">
        <v>28</v>
      </c>
      <c r="B27">
        <v>2020</v>
      </c>
      <c r="C27">
        <v>19.61</v>
      </c>
      <c r="D27">
        <v>19.760000000000002</v>
      </c>
      <c r="E27">
        <v>19.45</v>
      </c>
      <c r="F27">
        <v>19.940000000000001</v>
      </c>
      <c r="G27">
        <v>20.54</v>
      </c>
      <c r="H27">
        <v>21.82</v>
      </c>
      <c r="I27">
        <v>22.63</v>
      </c>
      <c r="J27">
        <v>23.58</v>
      </c>
      <c r="K27">
        <v>23.8</v>
      </c>
      <c r="L27">
        <v>23.39</v>
      </c>
      <c r="M27">
        <v>22.13</v>
      </c>
      <c r="N27">
        <v>20.440000000000001</v>
      </c>
      <c r="O27">
        <v>21.43</v>
      </c>
    </row>
    <row r="28" spans="1:15" x14ac:dyDescent="0.2">
      <c r="A28" t="s">
        <v>28</v>
      </c>
      <c r="B28">
        <v>2021</v>
      </c>
      <c r="C28">
        <v>19.850000000000001</v>
      </c>
      <c r="D28">
        <v>19.13</v>
      </c>
      <c r="E28">
        <v>19.079999999999998</v>
      </c>
      <c r="F28">
        <v>20.190000000000001</v>
      </c>
      <c r="G28">
        <v>20.56</v>
      </c>
      <c r="H28">
        <v>21.25</v>
      </c>
      <c r="I28">
        <v>22.66</v>
      </c>
      <c r="J28">
        <v>23.64</v>
      </c>
      <c r="K28">
        <v>24.5</v>
      </c>
      <c r="L28">
        <v>23.26</v>
      </c>
      <c r="M28">
        <v>22.52</v>
      </c>
      <c r="N28">
        <v>20.73</v>
      </c>
      <c r="O28">
        <v>21.46</v>
      </c>
    </row>
    <row r="29" spans="1:15" x14ac:dyDescent="0.2">
      <c r="A29" t="s">
        <v>28</v>
      </c>
      <c r="B29">
        <v>2022</v>
      </c>
      <c r="C29">
        <v>20.079999999999998</v>
      </c>
      <c r="D29">
        <v>19.5</v>
      </c>
      <c r="E29">
        <v>18.97</v>
      </c>
      <c r="F29">
        <v>19.45</v>
      </c>
      <c r="G29">
        <v>20.47</v>
      </c>
      <c r="H29">
        <v>21.42</v>
      </c>
      <c r="I29">
        <v>22.12</v>
      </c>
      <c r="J29">
        <v>23.02</v>
      </c>
      <c r="K29">
        <v>24.23</v>
      </c>
      <c r="L29">
        <v>23.42</v>
      </c>
      <c r="M29">
        <v>22.69</v>
      </c>
      <c r="N29">
        <v>21.88</v>
      </c>
      <c r="O29">
        <v>21.45</v>
      </c>
    </row>
    <row r="30" spans="1:15" x14ac:dyDescent="0.2">
      <c r="A30" t="s">
        <v>28</v>
      </c>
      <c r="B30">
        <v>2023</v>
      </c>
      <c r="C30">
        <v>20.5</v>
      </c>
      <c r="D30">
        <v>19.059999999999999</v>
      </c>
      <c r="E30">
        <v>20.49</v>
      </c>
      <c r="F30">
        <v>20.77</v>
      </c>
      <c r="G30">
        <v>21.42</v>
      </c>
      <c r="H30">
        <v>22.98</v>
      </c>
      <c r="I30">
        <v>23.93</v>
      </c>
      <c r="J30">
        <v>24.9</v>
      </c>
      <c r="K30">
        <v>24.78</v>
      </c>
      <c r="L30">
        <v>25.35</v>
      </c>
      <c r="M30">
        <v>23.56</v>
      </c>
      <c r="N30">
        <v>22.3</v>
      </c>
      <c r="O30">
        <v>22.53</v>
      </c>
    </row>
    <row r="31" spans="1:15" x14ac:dyDescent="0.2">
      <c r="A31" t="s">
        <v>28</v>
      </c>
      <c r="B31">
        <v>2024</v>
      </c>
      <c r="C31">
        <v>21.4</v>
      </c>
      <c r="D31">
        <v>21.18</v>
      </c>
      <c r="E31">
        <v>20.13</v>
      </c>
      <c r="F31">
        <v>20.77</v>
      </c>
      <c r="G31">
        <v>21.21</v>
      </c>
      <c r="H31">
        <v>22.43</v>
      </c>
      <c r="I31">
        <v>23.4</v>
      </c>
      <c r="J31">
        <v>24.36</v>
      </c>
      <c r="K31">
        <v>23.88</v>
      </c>
      <c r="L31">
        <v>23.82</v>
      </c>
      <c r="M31">
        <v>22.55</v>
      </c>
      <c r="N31">
        <v>21.67</v>
      </c>
      <c r="O31">
        <v>22.24</v>
      </c>
    </row>
    <row r="32" spans="1:15" x14ac:dyDescent="0.2">
      <c r="A32" t="s">
        <v>29</v>
      </c>
      <c r="B32">
        <v>2010</v>
      </c>
      <c r="C32">
        <v>22.32</v>
      </c>
      <c r="D32">
        <v>22.3</v>
      </c>
      <c r="E32">
        <v>21.41</v>
      </c>
      <c r="F32">
        <v>21.67</v>
      </c>
      <c r="G32">
        <v>21.64</v>
      </c>
      <c r="H32">
        <v>21.84</v>
      </c>
      <c r="I32">
        <v>23.06</v>
      </c>
      <c r="J32">
        <v>24.26</v>
      </c>
      <c r="K32">
        <v>24.48</v>
      </c>
      <c r="L32">
        <v>24.89</v>
      </c>
      <c r="M32">
        <v>23.59</v>
      </c>
      <c r="N32">
        <v>23.8</v>
      </c>
      <c r="O32">
        <v>24.89</v>
      </c>
    </row>
    <row r="33" spans="1:15" x14ac:dyDescent="0.2">
      <c r="A33" t="s">
        <v>29</v>
      </c>
      <c r="B33">
        <v>2011</v>
      </c>
      <c r="C33">
        <v>21.42</v>
      </c>
      <c r="D33">
        <v>19.91</v>
      </c>
      <c r="E33">
        <v>20.07</v>
      </c>
      <c r="F33">
        <v>20.12</v>
      </c>
      <c r="G33">
        <v>20.82</v>
      </c>
      <c r="H33">
        <v>21.74</v>
      </c>
      <c r="I33">
        <v>22.83</v>
      </c>
      <c r="J33">
        <v>24.02</v>
      </c>
      <c r="K33">
        <v>24.79</v>
      </c>
      <c r="L33">
        <v>25.18</v>
      </c>
      <c r="M33">
        <v>23.76</v>
      </c>
      <c r="N33">
        <v>22.05</v>
      </c>
      <c r="O33">
        <v>25.18</v>
      </c>
    </row>
    <row r="34" spans="1:15" x14ac:dyDescent="0.2">
      <c r="A34" t="s">
        <v>29</v>
      </c>
      <c r="B34">
        <v>2012</v>
      </c>
      <c r="C34">
        <v>20.6</v>
      </c>
      <c r="D34">
        <v>19.399999999999999</v>
      </c>
      <c r="E34">
        <v>19.78</v>
      </c>
      <c r="F34">
        <v>20.16</v>
      </c>
      <c r="G34">
        <v>22.14</v>
      </c>
      <c r="H34">
        <v>24.22</v>
      </c>
      <c r="I34">
        <v>24.44</v>
      </c>
      <c r="J34">
        <v>25.43</v>
      </c>
      <c r="K34">
        <v>26.15</v>
      </c>
      <c r="L34">
        <v>25.12</v>
      </c>
      <c r="M34">
        <v>24.84</v>
      </c>
      <c r="N34">
        <v>22.13</v>
      </c>
      <c r="O34">
        <v>26.15</v>
      </c>
    </row>
    <row r="35" spans="1:15" x14ac:dyDescent="0.2">
      <c r="A35" t="s">
        <v>29</v>
      </c>
      <c r="B35">
        <v>2013</v>
      </c>
      <c r="C35">
        <v>21.06</v>
      </c>
      <c r="D35">
        <v>20.49</v>
      </c>
      <c r="E35">
        <v>20.97</v>
      </c>
      <c r="F35">
        <v>22.04</v>
      </c>
      <c r="G35">
        <v>22.21</v>
      </c>
      <c r="H35">
        <v>22.11</v>
      </c>
      <c r="I35">
        <v>24.1</v>
      </c>
      <c r="J35">
        <v>24.41</v>
      </c>
      <c r="K35">
        <v>25.25</v>
      </c>
      <c r="L35">
        <v>24.96</v>
      </c>
      <c r="M35">
        <v>23.26</v>
      </c>
      <c r="N35">
        <v>23.23</v>
      </c>
      <c r="O35">
        <v>25.25</v>
      </c>
    </row>
    <row r="36" spans="1:15" x14ac:dyDescent="0.2">
      <c r="A36" t="s">
        <v>29</v>
      </c>
      <c r="B36">
        <v>2014</v>
      </c>
      <c r="C36">
        <v>20.36</v>
      </c>
      <c r="D36">
        <v>20.32</v>
      </c>
      <c r="E36">
        <v>19.66</v>
      </c>
      <c r="F36">
        <v>20.27</v>
      </c>
      <c r="G36">
        <v>20.96</v>
      </c>
      <c r="H36">
        <v>22.52</v>
      </c>
      <c r="I36">
        <v>24.8</v>
      </c>
      <c r="J36">
        <v>24.82</v>
      </c>
      <c r="K36">
        <v>25.8</v>
      </c>
      <c r="L36">
        <v>25.17</v>
      </c>
      <c r="M36">
        <v>23.37</v>
      </c>
      <c r="N36">
        <v>21.68</v>
      </c>
      <c r="O36">
        <v>25.8</v>
      </c>
    </row>
    <row r="37" spans="1:15" x14ac:dyDescent="0.2">
      <c r="A37" t="s">
        <v>29</v>
      </c>
      <c r="B37">
        <v>2015</v>
      </c>
      <c r="C37">
        <v>20.6</v>
      </c>
      <c r="D37">
        <v>19.399999999999999</v>
      </c>
      <c r="E37">
        <v>19.170000000000002</v>
      </c>
      <c r="F37">
        <v>20.23</v>
      </c>
      <c r="G37">
        <v>21.53</v>
      </c>
      <c r="H37">
        <v>23.28</v>
      </c>
      <c r="I37">
        <v>24.68</v>
      </c>
      <c r="J37">
        <v>25.83</v>
      </c>
      <c r="K37">
        <v>26.33</v>
      </c>
      <c r="L37">
        <v>25.66</v>
      </c>
      <c r="M37">
        <v>23.76</v>
      </c>
      <c r="N37">
        <v>22.78</v>
      </c>
      <c r="O37">
        <v>26.33</v>
      </c>
    </row>
    <row r="38" spans="1:15" x14ac:dyDescent="0.2">
      <c r="A38" t="s">
        <v>29</v>
      </c>
      <c r="B38">
        <v>2016</v>
      </c>
      <c r="C38">
        <v>22.4</v>
      </c>
      <c r="D38">
        <v>20.85</v>
      </c>
      <c r="E38">
        <v>19.96</v>
      </c>
      <c r="F38">
        <v>21.39</v>
      </c>
      <c r="G38">
        <v>21.47</v>
      </c>
      <c r="H38">
        <v>23.69</v>
      </c>
      <c r="I38">
        <v>23.25</v>
      </c>
      <c r="J38">
        <v>24.4</v>
      </c>
      <c r="K38">
        <v>24.45</v>
      </c>
      <c r="L38">
        <v>24.42</v>
      </c>
      <c r="M38">
        <v>23.13</v>
      </c>
      <c r="N38">
        <v>22.57</v>
      </c>
      <c r="O38">
        <v>24.45</v>
      </c>
    </row>
    <row r="39" spans="1:15" x14ac:dyDescent="0.2">
      <c r="A39" t="s">
        <v>29</v>
      </c>
      <c r="B39">
        <v>2017</v>
      </c>
      <c r="C39">
        <v>20.89</v>
      </c>
      <c r="D39">
        <v>20.23</v>
      </c>
      <c r="E39">
        <v>19.809999999999999</v>
      </c>
      <c r="F39">
        <v>21.62</v>
      </c>
      <c r="G39">
        <v>22.29</v>
      </c>
      <c r="H39">
        <v>22.95</v>
      </c>
      <c r="I39">
        <v>23.53</v>
      </c>
      <c r="J39">
        <v>24.47</v>
      </c>
      <c r="K39">
        <v>24.21</v>
      </c>
      <c r="L39">
        <v>24.76</v>
      </c>
      <c r="M39">
        <v>23.76</v>
      </c>
      <c r="N39">
        <v>22.55</v>
      </c>
      <c r="O39">
        <v>24.76</v>
      </c>
    </row>
    <row r="40" spans="1:15" x14ac:dyDescent="0.2">
      <c r="A40" t="s">
        <v>29</v>
      </c>
      <c r="B40">
        <v>2018</v>
      </c>
      <c r="C40">
        <v>20.85</v>
      </c>
      <c r="D40">
        <v>19.920000000000002</v>
      </c>
      <c r="E40">
        <v>20.100000000000001</v>
      </c>
      <c r="F40">
        <v>20.21</v>
      </c>
      <c r="G40">
        <v>20.18</v>
      </c>
      <c r="H40">
        <v>22.84</v>
      </c>
      <c r="I40">
        <v>23.67</v>
      </c>
      <c r="J40">
        <v>24.17</v>
      </c>
      <c r="K40">
        <v>24.77</v>
      </c>
      <c r="L40">
        <v>25.22</v>
      </c>
      <c r="M40">
        <v>23.37</v>
      </c>
      <c r="N40">
        <v>21.95</v>
      </c>
      <c r="O40">
        <v>25.22</v>
      </c>
    </row>
    <row r="41" spans="1:15" x14ac:dyDescent="0.2">
      <c r="A41" t="s">
        <v>29</v>
      </c>
      <c r="B41">
        <v>2019</v>
      </c>
      <c r="C41">
        <v>21.27</v>
      </c>
      <c r="D41">
        <v>20.52</v>
      </c>
      <c r="E41">
        <v>20.03</v>
      </c>
      <c r="F41">
        <v>20.05</v>
      </c>
      <c r="G41">
        <v>21.43</v>
      </c>
      <c r="H41">
        <v>23.53</v>
      </c>
      <c r="I41">
        <v>24.13</v>
      </c>
      <c r="J41">
        <v>25.34</v>
      </c>
      <c r="K41">
        <v>24.94</v>
      </c>
      <c r="L41">
        <v>24.58</v>
      </c>
      <c r="M41">
        <v>23.97</v>
      </c>
      <c r="N41">
        <v>22.3</v>
      </c>
      <c r="O41">
        <v>25.34</v>
      </c>
    </row>
    <row r="42" spans="1:15" x14ac:dyDescent="0.2">
      <c r="A42" t="s">
        <v>29</v>
      </c>
      <c r="B42">
        <v>2020</v>
      </c>
      <c r="C42">
        <v>20.84</v>
      </c>
      <c r="D42">
        <v>21.26</v>
      </c>
      <c r="E42">
        <v>20.63</v>
      </c>
      <c r="F42">
        <v>21.32</v>
      </c>
      <c r="G42">
        <v>21.74</v>
      </c>
      <c r="H42">
        <v>23.04</v>
      </c>
      <c r="I42">
        <v>23.32</v>
      </c>
      <c r="J42">
        <v>24.44</v>
      </c>
      <c r="K42">
        <v>24.81</v>
      </c>
      <c r="L42">
        <v>25.31</v>
      </c>
      <c r="M42">
        <v>23.85</v>
      </c>
      <c r="N42">
        <v>21.79</v>
      </c>
      <c r="O42">
        <v>25.31</v>
      </c>
    </row>
    <row r="43" spans="1:15" x14ac:dyDescent="0.2">
      <c r="A43" t="s">
        <v>29</v>
      </c>
      <c r="B43">
        <v>2021</v>
      </c>
      <c r="C43">
        <v>21.79</v>
      </c>
      <c r="D43">
        <v>20.59</v>
      </c>
      <c r="E43">
        <v>20.079999999999998</v>
      </c>
      <c r="F43">
        <v>21.91</v>
      </c>
      <c r="G43">
        <v>21.5</v>
      </c>
      <c r="H43">
        <v>22.41</v>
      </c>
      <c r="I43">
        <v>23.66</v>
      </c>
      <c r="J43">
        <v>25.25</v>
      </c>
      <c r="K43">
        <v>25.69</v>
      </c>
      <c r="L43">
        <v>24.74</v>
      </c>
      <c r="M43">
        <v>23.52</v>
      </c>
      <c r="N43">
        <v>22.06</v>
      </c>
      <c r="O43">
        <v>25.69</v>
      </c>
    </row>
    <row r="44" spans="1:15" x14ac:dyDescent="0.2">
      <c r="A44" t="s">
        <v>29</v>
      </c>
      <c r="B44">
        <v>2022</v>
      </c>
      <c r="C44">
        <v>21.5</v>
      </c>
      <c r="D44">
        <v>20.83</v>
      </c>
      <c r="E44">
        <v>20.32</v>
      </c>
      <c r="F44">
        <v>20.69</v>
      </c>
      <c r="G44">
        <v>21.88</v>
      </c>
      <c r="H44">
        <v>22.55</v>
      </c>
      <c r="I44">
        <v>23.13</v>
      </c>
      <c r="J44">
        <v>23.84</v>
      </c>
      <c r="K44">
        <v>25.46</v>
      </c>
      <c r="L44">
        <v>24.65</v>
      </c>
      <c r="M44">
        <v>24.04</v>
      </c>
      <c r="N44">
        <v>23.32</v>
      </c>
      <c r="O44">
        <v>25.46</v>
      </c>
    </row>
    <row r="45" spans="1:15" x14ac:dyDescent="0.2">
      <c r="A45" t="s">
        <v>29</v>
      </c>
      <c r="B45">
        <v>2023</v>
      </c>
      <c r="C45">
        <v>21.69</v>
      </c>
      <c r="D45">
        <v>21.16</v>
      </c>
      <c r="E45">
        <v>22.21</v>
      </c>
      <c r="F45">
        <v>22.94</v>
      </c>
      <c r="G45">
        <v>23.49</v>
      </c>
      <c r="H45">
        <v>24.58</v>
      </c>
      <c r="I45">
        <v>25.02</v>
      </c>
      <c r="J45">
        <v>25.87</v>
      </c>
      <c r="K45">
        <v>25.87</v>
      </c>
      <c r="L45">
        <v>26.89</v>
      </c>
      <c r="M45">
        <v>25.16</v>
      </c>
      <c r="N45">
        <v>23.5</v>
      </c>
      <c r="O45">
        <v>26.89</v>
      </c>
    </row>
    <row r="46" spans="1:15" x14ac:dyDescent="0.2">
      <c r="A46" t="s">
        <v>29</v>
      </c>
      <c r="B46">
        <v>2024</v>
      </c>
      <c r="C46">
        <v>23.01</v>
      </c>
      <c r="D46">
        <v>22.37</v>
      </c>
      <c r="E46">
        <v>21.66</v>
      </c>
      <c r="F46">
        <v>22.06</v>
      </c>
      <c r="G46">
        <v>23.16</v>
      </c>
      <c r="H46">
        <v>23.62</v>
      </c>
      <c r="I46">
        <v>25.16</v>
      </c>
      <c r="J46">
        <v>25.14</v>
      </c>
      <c r="K46">
        <v>24.99</v>
      </c>
      <c r="L46">
        <v>25.31</v>
      </c>
      <c r="M46">
        <v>24.18</v>
      </c>
      <c r="N46">
        <v>23.54</v>
      </c>
      <c r="O46">
        <v>25.31</v>
      </c>
    </row>
    <row r="47" spans="1:15" x14ac:dyDescent="0.2">
      <c r="A47" t="s">
        <v>30</v>
      </c>
      <c r="B47">
        <v>2010</v>
      </c>
      <c r="C47">
        <v>19.07</v>
      </c>
      <c r="D47">
        <v>18.07</v>
      </c>
      <c r="E47">
        <v>17.91</v>
      </c>
      <c r="F47">
        <v>18.52</v>
      </c>
      <c r="G47">
        <v>18.809999999999999</v>
      </c>
      <c r="H47">
        <v>20.32</v>
      </c>
      <c r="I47">
        <v>20.9</v>
      </c>
      <c r="J47">
        <v>22.3</v>
      </c>
      <c r="K47">
        <v>22.75</v>
      </c>
      <c r="L47">
        <v>21.95</v>
      </c>
      <c r="M47">
        <v>19.61</v>
      </c>
      <c r="N47">
        <v>19.260000000000002</v>
      </c>
      <c r="O47">
        <v>17.91</v>
      </c>
    </row>
    <row r="48" spans="1:15" x14ac:dyDescent="0.2">
      <c r="A48" t="s">
        <v>30</v>
      </c>
      <c r="B48">
        <v>2011</v>
      </c>
      <c r="C48">
        <v>16.739999999999998</v>
      </c>
      <c r="D48">
        <v>17.399999999999999</v>
      </c>
      <c r="E48">
        <v>16.34</v>
      </c>
      <c r="F48">
        <v>17.309999999999999</v>
      </c>
      <c r="G48">
        <v>18.25</v>
      </c>
      <c r="H48">
        <v>19.03</v>
      </c>
      <c r="I48">
        <v>20.13</v>
      </c>
      <c r="J48">
        <v>21.72</v>
      </c>
      <c r="K48">
        <v>23.02</v>
      </c>
      <c r="L48">
        <v>22.17</v>
      </c>
      <c r="M48">
        <v>20.63</v>
      </c>
      <c r="N48">
        <v>19.79</v>
      </c>
      <c r="O48">
        <v>16.34</v>
      </c>
    </row>
    <row r="49" spans="1:15" x14ac:dyDescent="0.2">
      <c r="A49" t="s">
        <v>30</v>
      </c>
      <c r="B49">
        <v>2012</v>
      </c>
      <c r="C49">
        <v>18.010000000000002</v>
      </c>
      <c r="D49">
        <v>17.02</v>
      </c>
      <c r="E49">
        <v>17.079999999999998</v>
      </c>
      <c r="F49">
        <v>17.3</v>
      </c>
      <c r="G49">
        <v>17.28</v>
      </c>
      <c r="H49">
        <v>21.62</v>
      </c>
      <c r="I49">
        <v>21.9</v>
      </c>
      <c r="J49">
        <v>22.74</v>
      </c>
      <c r="K49">
        <v>23.83</v>
      </c>
      <c r="L49">
        <v>22.41</v>
      </c>
      <c r="M49">
        <v>20.47</v>
      </c>
      <c r="N49">
        <v>18.95</v>
      </c>
      <c r="O49">
        <v>17.02</v>
      </c>
    </row>
    <row r="50" spans="1:15" x14ac:dyDescent="0.2">
      <c r="A50" t="s">
        <v>30</v>
      </c>
      <c r="B50">
        <v>2013</v>
      </c>
      <c r="C50">
        <v>18.04</v>
      </c>
      <c r="D50">
        <v>17.75</v>
      </c>
      <c r="E50">
        <v>17.54</v>
      </c>
      <c r="F50">
        <v>18.32</v>
      </c>
      <c r="G50">
        <v>19.100000000000001</v>
      </c>
      <c r="H50">
        <v>19.3</v>
      </c>
      <c r="I50">
        <v>20.350000000000001</v>
      </c>
      <c r="J50">
        <v>22.28</v>
      </c>
      <c r="K50">
        <v>22.53</v>
      </c>
      <c r="L50">
        <v>22.07</v>
      </c>
      <c r="M50">
        <v>20.54</v>
      </c>
      <c r="N50">
        <v>18.809999999999999</v>
      </c>
      <c r="O50">
        <v>17.54</v>
      </c>
    </row>
    <row r="51" spans="1:15" x14ac:dyDescent="0.2">
      <c r="A51" t="s">
        <v>30</v>
      </c>
      <c r="B51">
        <v>2014</v>
      </c>
      <c r="C51">
        <v>17.739999999999998</v>
      </c>
      <c r="D51">
        <v>16.75</v>
      </c>
      <c r="E51">
        <v>17.2</v>
      </c>
      <c r="F51">
        <v>17.93</v>
      </c>
      <c r="G51">
        <v>18.87</v>
      </c>
      <c r="H51">
        <v>19.68</v>
      </c>
      <c r="I51">
        <v>21.38</v>
      </c>
      <c r="J51">
        <v>22.93</v>
      </c>
      <c r="K51">
        <v>22.77</v>
      </c>
      <c r="L51">
        <v>21.88</v>
      </c>
      <c r="M51">
        <v>19.5</v>
      </c>
      <c r="N51">
        <v>18.29</v>
      </c>
      <c r="O51">
        <v>16.75</v>
      </c>
    </row>
    <row r="52" spans="1:15" x14ac:dyDescent="0.2">
      <c r="A52" t="s">
        <v>30</v>
      </c>
      <c r="B52">
        <v>2015</v>
      </c>
      <c r="C52">
        <v>17.829999999999998</v>
      </c>
      <c r="D52">
        <v>16.82</v>
      </c>
      <c r="E52">
        <v>16.829999999999998</v>
      </c>
      <c r="F52">
        <v>17.190000000000001</v>
      </c>
      <c r="G52">
        <v>17.96</v>
      </c>
      <c r="H52">
        <v>19.48</v>
      </c>
      <c r="I52">
        <v>21.91</v>
      </c>
      <c r="J52">
        <v>22.96</v>
      </c>
      <c r="K52">
        <v>23.04</v>
      </c>
      <c r="L52">
        <v>21.28</v>
      </c>
      <c r="M52">
        <v>20.02</v>
      </c>
      <c r="N52">
        <v>18.89</v>
      </c>
      <c r="O52">
        <v>16.82</v>
      </c>
    </row>
    <row r="53" spans="1:15" x14ac:dyDescent="0.2">
      <c r="A53" t="s">
        <v>30</v>
      </c>
      <c r="B53">
        <v>2016</v>
      </c>
      <c r="C53">
        <v>19.2</v>
      </c>
      <c r="D53">
        <v>17.829999999999998</v>
      </c>
      <c r="E53">
        <v>17.36</v>
      </c>
      <c r="F53">
        <v>17.57</v>
      </c>
      <c r="G53">
        <v>18.899999999999999</v>
      </c>
      <c r="H53">
        <v>19.87</v>
      </c>
      <c r="I53">
        <v>21.18</v>
      </c>
      <c r="J53">
        <v>22.33</v>
      </c>
      <c r="K53">
        <v>22.91</v>
      </c>
      <c r="L53">
        <v>21.99</v>
      </c>
      <c r="M53">
        <v>19.23</v>
      </c>
      <c r="N53">
        <v>18.78</v>
      </c>
      <c r="O53">
        <v>17.36</v>
      </c>
    </row>
    <row r="54" spans="1:15" x14ac:dyDescent="0.2">
      <c r="A54" t="s">
        <v>30</v>
      </c>
      <c r="B54">
        <v>2017</v>
      </c>
      <c r="C54">
        <v>17.510000000000002</v>
      </c>
      <c r="D54">
        <v>17.79</v>
      </c>
      <c r="E54">
        <v>17.23</v>
      </c>
      <c r="F54">
        <v>18.59</v>
      </c>
      <c r="G54">
        <v>19.36</v>
      </c>
      <c r="H54">
        <v>20.96</v>
      </c>
      <c r="I54">
        <v>21.33</v>
      </c>
      <c r="J54">
        <v>22.44</v>
      </c>
      <c r="K54">
        <v>22.84</v>
      </c>
      <c r="L54">
        <v>22.23</v>
      </c>
      <c r="M54">
        <v>20.6</v>
      </c>
      <c r="N54">
        <v>19.28</v>
      </c>
      <c r="O54">
        <v>17.23</v>
      </c>
    </row>
    <row r="55" spans="1:15" x14ac:dyDescent="0.2">
      <c r="A55" t="s">
        <v>30</v>
      </c>
      <c r="B55">
        <v>2018</v>
      </c>
      <c r="C55">
        <v>18.579999999999998</v>
      </c>
      <c r="D55">
        <v>16.43</v>
      </c>
      <c r="E55">
        <v>17.7</v>
      </c>
      <c r="F55">
        <v>17.739999999999998</v>
      </c>
      <c r="G55">
        <v>18.149999999999999</v>
      </c>
      <c r="H55">
        <v>18.7</v>
      </c>
      <c r="I55">
        <v>21.3</v>
      </c>
      <c r="J55">
        <v>22.69</v>
      </c>
      <c r="K55">
        <v>22.3</v>
      </c>
      <c r="L55">
        <v>21.62</v>
      </c>
      <c r="M55">
        <v>19.579999999999998</v>
      </c>
      <c r="N55">
        <v>19.420000000000002</v>
      </c>
      <c r="O55">
        <v>16.43</v>
      </c>
    </row>
    <row r="56" spans="1:15" x14ac:dyDescent="0.2">
      <c r="A56" t="s">
        <v>30</v>
      </c>
      <c r="B56">
        <v>2019</v>
      </c>
      <c r="C56">
        <v>18.489999999999998</v>
      </c>
      <c r="D56">
        <v>18.09</v>
      </c>
      <c r="E56">
        <v>17.170000000000002</v>
      </c>
      <c r="F56">
        <v>16.96</v>
      </c>
      <c r="G56">
        <v>18.39</v>
      </c>
      <c r="H56">
        <v>19.39</v>
      </c>
      <c r="I56">
        <v>20.86</v>
      </c>
      <c r="J56">
        <v>22.89</v>
      </c>
      <c r="K56">
        <v>22.55</v>
      </c>
      <c r="L56">
        <v>21.44</v>
      </c>
      <c r="M56">
        <v>20.04</v>
      </c>
      <c r="N56">
        <v>19.79</v>
      </c>
      <c r="O56">
        <v>16.96</v>
      </c>
    </row>
    <row r="57" spans="1:15" x14ac:dyDescent="0.2">
      <c r="A57" t="s">
        <v>30</v>
      </c>
      <c r="B57">
        <v>2020</v>
      </c>
      <c r="C57">
        <v>18.14</v>
      </c>
      <c r="D57">
        <v>18.39</v>
      </c>
      <c r="E57">
        <v>17.920000000000002</v>
      </c>
      <c r="F57">
        <v>18.59</v>
      </c>
      <c r="G57">
        <v>19.350000000000001</v>
      </c>
      <c r="H57">
        <v>20.27</v>
      </c>
      <c r="I57">
        <v>21.94</v>
      </c>
      <c r="J57">
        <v>22.52</v>
      </c>
      <c r="K57">
        <v>22.71</v>
      </c>
      <c r="L57">
        <v>22.08</v>
      </c>
      <c r="M57">
        <v>19.95</v>
      </c>
      <c r="N57">
        <v>18.68</v>
      </c>
      <c r="O57">
        <v>17.920000000000002</v>
      </c>
    </row>
    <row r="58" spans="1:15" x14ac:dyDescent="0.2">
      <c r="A58" t="s">
        <v>30</v>
      </c>
      <c r="B58">
        <v>2021</v>
      </c>
      <c r="C58">
        <v>18.239999999999998</v>
      </c>
      <c r="D58">
        <v>17.71</v>
      </c>
      <c r="E58">
        <v>17.649999999999999</v>
      </c>
      <c r="F58">
        <v>18.600000000000001</v>
      </c>
      <c r="G58">
        <v>18.84</v>
      </c>
      <c r="H58">
        <v>20.12</v>
      </c>
      <c r="I58">
        <v>21.6</v>
      </c>
      <c r="J58">
        <v>22.04</v>
      </c>
      <c r="K58">
        <v>23.36</v>
      </c>
      <c r="L58">
        <v>20.87</v>
      </c>
      <c r="M58">
        <v>20.309999999999999</v>
      </c>
      <c r="N58">
        <v>18.88</v>
      </c>
      <c r="O58">
        <v>17.649999999999999</v>
      </c>
    </row>
    <row r="59" spans="1:15" x14ac:dyDescent="0.2">
      <c r="A59" t="s">
        <v>30</v>
      </c>
      <c r="B59">
        <v>2022</v>
      </c>
      <c r="C59">
        <v>18</v>
      </c>
      <c r="D59">
        <v>18.579999999999998</v>
      </c>
      <c r="E59">
        <v>17.77</v>
      </c>
      <c r="F59">
        <v>17.89</v>
      </c>
      <c r="G59">
        <v>18.600000000000001</v>
      </c>
      <c r="H59">
        <v>20.239999999999998</v>
      </c>
      <c r="I59">
        <v>21.06</v>
      </c>
      <c r="J59">
        <v>22.24</v>
      </c>
      <c r="K59">
        <v>23.1</v>
      </c>
      <c r="L59">
        <v>21.54</v>
      </c>
      <c r="M59">
        <v>21.63</v>
      </c>
      <c r="N59">
        <v>18.510000000000002</v>
      </c>
      <c r="O59">
        <v>17.77</v>
      </c>
    </row>
    <row r="60" spans="1:15" x14ac:dyDescent="0.2">
      <c r="A60" t="s">
        <v>30</v>
      </c>
      <c r="B60">
        <v>2023</v>
      </c>
      <c r="C60">
        <v>19.170000000000002</v>
      </c>
      <c r="D60">
        <v>17.87</v>
      </c>
      <c r="E60">
        <v>19.100000000000001</v>
      </c>
      <c r="F60">
        <v>19.100000000000001</v>
      </c>
      <c r="G60">
        <v>19.489999999999998</v>
      </c>
      <c r="H60">
        <v>20.69</v>
      </c>
      <c r="I60">
        <v>22.65</v>
      </c>
      <c r="J60">
        <v>24.16</v>
      </c>
      <c r="K60">
        <v>23.4</v>
      </c>
      <c r="L60">
        <v>23.61</v>
      </c>
      <c r="M60">
        <v>22.49</v>
      </c>
      <c r="N60">
        <v>20.28</v>
      </c>
      <c r="O60">
        <v>17.87</v>
      </c>
    </row>
    <row r="61" spans="1:15" x14ac:dyDescent="0.2">
      <c r="A61" t="s">
        <v>30</v>
      </c>
      <c r="B61">
        <v>2024</v>
      </c>
      <c r="C61">
        <v>19.87</v>
      </c>
      <c r="D61">
        <v>19.579999999999998</v>
      </c>
      <c r="E61">
        <v>18.420000000000002</v>
      </c>
      <c r="F61">
        <v>18.899999999999999</v>
      </c>
      <c r="G61">
        <v>19.96</v>
      </c>
      <c r="H61">
        <v>21.5</v>
      </c>
      <c r="I61">
        <v>21.83</v>
      </c>
      <c r="J61">
        <v>23.53</v>
      </c>
      <c r="K61">
        <v>22.67</v>
      </c>
      <c r="L61">
        <v>21.32</v>
      </c>
      <c r="M61">
        <v>21.12</v>
      </c>
      <c r="N61">
        <v>19.72</v>
      </c>
      <c r="O61">
        <v>18.420000000000002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9F62-9226-3441-99BC-1B22A963BA2F}">
  <dimension ref="A1:F16"/>
  <sheetViews>
    <sheetView workbookViewId="0">
      <selection activeCell="C2" sqref="C2:E16"/>
    </sheetView>
  </sheetViews>
  <sheetFormatPr baseColWidth="10" defaultRowHeight="16" x14ac:dyDescent="0.2"/>
  <cols>
    <col min="3" max="3" width="11.1640625" bestFit="1" customWidth="1"/>
  </cols>
  <sheetData>
    <row r="1" spans="1:6" x14ac:dyDescent="0.2">
      <c r="A1" t="s">
        <v>32</v>
      </c>
      <c r="B1" t="s">
        <v>33</v>
      </c>
      <c r="C1" t="s">
        <v>48</v>
      </c>
      <c r="D1" t="s">
        <v>34</v>
      </c>
      <c r="E1" t="s">
        <v>35</v>
      </c>
      <c r="F1" t="s">
        <v>55</v>
      </c>
    </row>
    <row r="2" spans="1:6" x14ac:dyDescent="0.2">
      <c r="A2">
        <v>2010</v>
      </c>
      <c r="B2" t="s">
        <v>47</v>
      </c>
      <c r="C2">
        <f>Working!N2</f>
        <v>33.69</v>
      </c>
      <c r="D2">
        <f>Dataset!N17</f>
        <v>21.16</v>
      </c>
      <c r="E2" s="16">
        <f>Working!N32</f>
        <v>23.8</v>
      </c>
      <c r="F2">
        <v>12</v>
      </c>
    </row>
    <row r="3" spans="1:6" x14ac:dyDescent="0.2">
      <c r="A3">
        <v>2011</v>
      </c>
      <c r="B3" t="s">
        <v>47</v>
      </c>
      <c r="C3" s="16">
        <f>Working!N3</f>
        <v>6.76</v>
      </c>
      <c r="D3">
        <f>Dataset!N18</f>
        <v>20.81</v>
      </c>
      <c r="E3">
        <f>Working!N33</f>
        <v>22.05</v>
      </c>
      <c r="F3">
        <v>12</v>
      </c>
    </row>
    <row r="4" spans="1:6" x14ac:dyDescent="0.2">
      <c r="A4">
        <v>2012</v>
      </c>
      <c r="B4" t="s">
        <v>47</v>
      </c>
      <c r="C4">
        <f>Working!N4</f>
        <v>18.54</v>
      </c>
      <c r="D4">
        <f>Dataset!N19</f>
        <v>20.71</v>
      </c>
      <c r="E4">
        <f>Working!N34</f>
        <v>22.13</v>
      </c>
      <c r="F4">
        <v>12</v>
      </c>
    </row>
    <row r="5" spans="1:6" x14ac:dyDescent="0.2">
      <c r="A5">
        <v>2013</v>
      </c>
      <c r="B5" t="s">
        <v>47</v>
      </c>
      <c r="C5">
        <f>Working!N5</f>
        <v>38.18</v>
      </c>
      <c r="D5">
        <f>Dataset!N20</f>
        <v>20.83</v>
      </c>
      <c r="E5">
        <f>Working!N35</f>
        <v>23.23</v>
      </c>
      <c r="F5">
        <v>12</v>
      </c>
    </row>
    <row r="6" spans="1:6" x14ac:dyDescent="0.2">
      <c r="A6">
        <v>2014</v>
      </c>
      <c r="B6" t="s">
        <v>47</v>
      </c>
      <c r="C6">
        <f>Working!N6</f>
        <v>39.99</v>
      </c>
      <c r="D6">
        <f>Dataset!N21</f>
        <v>20.29</v>
      </c>
      <c r="E6">
        <f>Working!N36</f>
        <v>21.68</v>
      </c>
      <c r="F6">
        <v>12</v>
      </c>
    </row>
    <row r="7" spans="1:6" x14ac:dyDescent="0.2">
      <c r="A7">
        <v>2015</v>
      </c>
      <c r="B7" t="s">
        <v>47</v>
      </c>
      <c r="C7">
        <f>Working!N7</f>
        <v>4.57</v>
      </c>
      <c r="D7">
        <f>Dataset!N22</f>
        <v>21.06</v>
      </c>
      <c r="E7">
        <f>Working!N37</f>
        <v>22.78</v>
      </c>
      <c r="F7">
        <v>12</v>
      </c>
    </row>
    <row r="8" spans="1:6" x14ac:dyDescent="0.2">
      <c r="A8">
        <v>2016</v>
      </c>
      <c r="B8" t="s">
        <v>47</v>
      </c>
      <c r="C8">
        <f>Working!N8</f>
        <v>24.13</v>
      </c>
      <c r="D8">
        <f>Dataset!N23</f>
        <v>20.56</v>
      </c>
      <c r="E8">
        <f>Working!N38</f>
        <v>22.57</v>
      </c>
      <c r="F8">
        <v>12</v>
      </c>
    </row>
    <row r="9" spans="1:6" x14ac:dyDescent="0.2">
      <c r="A9">
        <v>2017</v>
      </c>
      <c r="B9" t="s">
        <v>47</v>
      </c>
      <c r="C9" s="16">
        <f>Working!N9</f>
        <v>13.7</v>
      </c>
      <c r="D9">
        <f>Dataset!N24</f>
        <v>20.98</v>
      </c>
      <c r="E9">
        <f>Working!N39</f>
        <v>22.55</v>
      </c>
      <c r="F9">
        <v>12</v>
      </c>
    </row>
    <row r="10" spans="1:6" x14ac:dyDescent="0.2">
      <c r="A10">
        <v>2018</v>
      </c>
      <c r="B10" t="s">
        <v>47</v>
      </c>
      <c r="C10">
        <f>Working!N10</f>
        <v>14.23</v>
      </c>
      <c r="D10">
        <f>Dataset!N25</f>
        <v>20.76</v>
      </c>
      <c r="E10">
        <f>Working!N40</f>
        <v>21.95</v>
      </c>
      <c r="F10">
        <v>12</v>
      </c>
    </row>
    <row r="11" spans="1:6" x14ac:dyDescent="0.2">
      <c r="A11">
        <v>2019</v>
      </c>
      <c r="B11" t="s">
        <v>47</v>
      </c>
      <c r="C11">
        <f>Working!N11</f>
        <v>7.18</v>
      </c>
      <c r="D11">
        <f>Dataset!N26</f>
        <v>21.07</v>
      </c>
      <c r="E11" s="16">
        <f>Working!N41</f>
        <v>22.3</v>
      </c>
      <c r="F11">
        <v>12</v>
      </c>
    </row>
    <row r="12" spans="1:6" x14ac:dyDescent="0.2">
      <c r="A12">
        <v>2020</v>
      </c>
      <c r="B12" t="s">
        <v>47</v>
      </c>
      <c r="C12">
        <f>Working!N12</f>
        <v>21.22</v>
      </c>
      <c r="D12">
        <f>Dataset!N27</f>
        <v>20.440000000000001</v>
      </c>
      <c r="E12">
        <f>Working!N42</f>
        <v>21.79</v>
      </c>
      <c r="F12">
        <v>12</v>
      </c>
    </row>
    <row r="13" spans="1:6" x14ac:dyDescent="0.2">
      <c r="A13">
        <v>2021</v>
      </c>
      <c r="B13" t="s">
        <v>47</v>
      </c>
      <c r="C13">
        <f>Working!N13</f>
        <v>6.01</v>
      </c>
      <c r="D13">
        <f>Dataset!N28</f>
        <v>20.73</v>
      </c>
      <c r="E13">
        <f>Working!N43</f>
        <v>22.06</v>
      </c>
      <c r="F13">
        <v>12</v>
      </c>
    </row>
    <row r="14" spans="1:6" x14ac:dyDescent="0.2">
      <c r="A14">
        <v>2022</v>
      </c>
      <c r="B14" t="s">
        <v>47</v>
      </c>
      <c r="C14">
        <f>Working!N14</f>
        <v>16.3</v>
      </c>
      <c r="D14">
        <f>Dataset!N29</f>
        <v>21.88</v>
      </c>
      <c r="E14">
        <f>Working!N44</f>
        <v>23.32</v>
      </c>
      <c r="F14">
        <v>12</v>
      </c>
    </row>
    <row r="15" spans="1:6" x14ac:dyDescent="0.2">
      <c r="A15">
        <v>2023</v>
      </c>
      <c r="B15" t="s">
        <v>47</v>
      </c>
      <c r="C15" s="15">
        <f>Working!N15</f>
        <v>9.74</v>
      </c>
      <c r="D15" s="16">
        <f>Dataset!N30</f>
        <v>22.3</v>
      </c>
      <c r="E15" s="16">
        <f>Working!N45</f>
        <v>23.5</v>
      </c>
      <c r="F15">
        <v>12</v>
      </c>
    </row>
    <row r="16" spans="1:6" x14ac:dyDescent="0.2">
      <c r="A16">
        <v>2024</v>
      </c>
      <c r="B16" t="s">
        <v>47</v>
      </c>
      <c r="C16">
        <f>Working!N16</f>
        <v>25.42</v>
      </c>
      <c r="D16">
        <f>Dataset!N31</f>
        <v>21.67</v>
      </c>
      <c r="E16">
        <f>Working!N46</f>
        <v>23.54</v>
      </c>
      <c r="F16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B224-768B-CA4D-A443-0745D5C339C1}">
  <dimension ref="A1:F181"/>
  <sheetViews>
    <sheetView tabSelected="1" workbookViewId="0">
      <pane ySplit="1" topLeftCell="A51" activePane="bottomLeft" state="frozen"/>
      <selection pane="bottomLeft" activeCell="C8" sqref="C8"/>
    </sheetView>
  </sheetViews>
  <sheetFormatPr baseColWidth="10" defaultRowHeight="16" x14ac:dyDescent="0.2"/>
  <cols>
    <col min="3" max="3" width="12.33203125" bestFit="1" customWidth="1"/>
    <col min="4" max="4" width="11.1640625" bestFit="1" customWidth="1"/>
  </cols>
  <sheetData>
    <row r="1" spans="1:6" x14ac:dyDescent="0.2">
      <c r="A1" t="s">
        <v>32</v>
      </c>
      <c r="B1" t="s">
        <v>33</v>
      </c>
      <c r="C1" t="s">
        <v>55</v>
      </c>
      <c r="D1" t="s">
        <v>48</v>
      </c>
      <c r="E1" t="s">
        <v>34</v>
      </c>
      <c r="F1" t="s">
        <v>35</v>
      </c>
    </row>
    <row r="2" spans="1:6" x14ac:dyDescent="0.2">
      <c r="A2">
        <v>2010</v>
      </c>
      <c r="B2" t="s">
        <v>36</v>
      </c>
      <c r="C2">
        <v>1</v>
      </c>
      <c r="D2">
        <v>57.21</v>
      </c>
      <c r="E2">
        <v>20.239999999999998</v>
      </c>
      <c r="F2">
        <v>22.32</v>
      </c>
    </row>
    <row r="3" spans="1:6" x14ac:dyDescent="0.2">
      <c r="A3">
        <v>2010</v>
      </c>
      <c r="B3" t="s">
        <v>37</v>
      </c>
      <c r="C3">
        <v>2</v>
      </c>
      <c r="D3">
        <v>39.97</v>
      </c>
      <c r="E3">
        <v>19.95</v>
      </c>
      <c r="F3">
        <v>22.3</v>
      </c>
    </row>
    <row r="4" spans="1:6" x14ac:dyDescent="0.2">
      <c r="A4">
        <v>2010</v>
      </c>
      <c r="B4" t="s">
        <v>38</v>
      </c>
      <c r="C4">
        <v>3</v>
      </c>
      <c r="D4">
        <v>20.55</v>
      </c>
      <c r="E4">
        <v>19.75</v>
      </c>
      <c r="F4">
        <v>21.41</v>
      </c>
    </row>
    <row r="5" spans="1:6" x14ac:dyDescent="0.2">
      <c r="A5">
        <v>2010</v>
      </c>
      <c r="B5" t="s">
        <v>39</v>
      </c>
      <c r="C5">
        <v>4</v>
      </c>
      <c r="D5">
        <v>23.36</v>
      </c>
      <c r="E5">
        <v>20.100000000000001</v>
      </c>
      <c r="F5">
        <v>21.67</v>
      </c>
    </row>
    <row r="6" spans="1:6" x14ac:dyDescent="0.2">
      <c r="A6">
        <v>2010</v>
      </c>
      <c r="B6" t="s">
        <v>40</v>
      </c>
      <c r="C6">
        <v>5</v>
      </c>
      <c r="D6">
        <v>2.99</v>
      </c>
      <c r="E6">
        <v>20.18</v>
      </c>
      <c r="F6">
        <v>21.64</v>
      </c>
    </row>
    <row r="7" spans="1:6" x14ac:dyDescent="0.2">
      <c r="A7">
        <v>2010</v>
      </c>
      <c r="B7" t="s">
        <v>41</v>
      </c>
      <c r="C7">
        <v>6</v>
      </c>
      <c r="D7">
        <v>1.33</v>
      </c>
      <c r="E7">
        <v>21.13</v>
      </c>
      <c r="F7">
        <v>21.84</v>
      </c>
    </row>
    <row r="8" spans="1:6" x14ac:dyDescent="0.2">
      <c r="A8">
        <v>2010</v>
      </c>
      <c r="B8" t="s">
        <v>42</v>
      </c>
      <c r="C8">
        <v>7</v>
      </c>
      <c r="D8">
        <v>0.78</v>
      </c>
      <c r="E8">
        <v>22.02</v>
      </c>
      <c r="F8">
        <v>23.06</v>
      </c>
    </row>
    <row r="9" spans="1:6" x14ac:dyDescent="0.2">
      <c r="A9">
        <v>2010</v>
      </c>
      <c r="B9" t="s">
        <v>43</v>
      </c>
      <c r="C9">
        <v>8</v>
      </c>
      <c r="D9">
        <v>2.2200000000000002</v>
      </c>
      <c r="E9">
        <v>23.21</v>
      </c>
      <c r="F9">
        <v>24.26</v>
      </c>
    </row>
    <row r="10" spans="1:6" x14ac:dyDescent="0.2">
      <c r="A10">
        <v>2010</v>
      </c>
      <c r="B10" t="s">
        <v>44</v>
      </c>
      <c r="C10">
        <v>9</v>
      </c>
      <c r="D10">
        <v>48.86</v>
      </c>
      <c r="E10">
        <v>23.7</v>
      </c>
      <c r="F10">
        <v>24.48</v>
      </c>
    </row>
    <row r="11" spans="1:6" x14ac:dyDescent="0.2">
      <c r="A11">
        <v>2010</v>
      </c>
      <c r="B11" t="s">
        <v>45</v>
      </c>
      <c r="C11">
        <v>10</v>
      </c>
      <c r="D11">
        <v>3.88</v>
      </c>
      <c r="E11">
        <v>23.47</v>
      </c>
      <c r="F11">
        <v>24.89</v>
      </c>
    </row>
    <row r="12" spans="1:6" x14ac:dyDescent="0.2">
      <c r="A12">
        <v>2010</v>
      </c>
      <c r="B12" t="s">
        <v>46</v>
      </c>
      <c r="C12">
        <v>11</v>
      </c>
      <c r="D12">
        <v>70.53</v>
      </c>
      <c r="E12">
        <v>22.4</v>
      </c>
      <c r="F12">
        <v>23.59</v>
      </c>
    </row>
    <row r="13" spans="1:6" x14ac:dyDescent="0.2">
      <c r="A13">
        <v>2010</v>
      </c>
      <c r="B13" t="s">
        <v>47</v>
      </c>
      <c r="C13">
        <v>12</v>
      </c>
      <c r="D13">
        <v>33.69</v>
      </c>
      <c r="E13">
        <v>21.16</v>
      </c>
      <c r="F13">
        <v>23.8</v>
      </c>
    </row>
    <row r="14" spans="1:6" x14ac:dyDescent="0.2">
      <c r="A14">
        <v>2011</v>
      </c>
      <c r="B14" t="s">
        <v>36</v>
      </c>
      <c r="C14">
        <v>1</v>
      </c>
      <c r="D14">
        <v>32.94</v>
      </c>
      <c r="E14">
        <v>19.46</v>
      </c>
      <c r="F14">
        <v>21.42</v>
      </c>
    </row>
    <row r="15" spans="1:6" x14ac:dyDescent="0.2">
      <c r="A15">
        <v>2011</v>
      </c>
      <c r="B15" t="s">
        <v>37</v>
      </c>
      <c r="C15">
        <v>2</v>
      </c>
      <c r="D15">
        <v>4.46</v>
      </c>
      <c r="E15">
        <v>19</v>
      </c>
      <c r="F15">
        <v>19.91</v>
      </c>
    </row>
    <row r="16" spans="1:6" x14ac:dyDescent="0.2">
      <c r="A16">
        <v>2011</v>
      </c>
      <c r="B16" t="s">
        <v>38</v>
      </c>
      <c r="C16">
        <v>3</v>
      </c>
      <c r="D16">
        <v>6.76</v>
      </c>
      <c r="E16">
        <v>18.29</v>
      </c>
      <c r="F16">
        <v>20.07</v>
      </c>
    </row>
    <row r="17" spans="1:6" x14ac:dyDescent="0.2">
      <c r="A17">
        <v>2011</v>
      </c>
      <c r="B17" s="14" t="s">
        <v>39</v>
      </c>
      <c r="C17">
        <v>4</v>
      </c>
      <c r="D17">
        <v>7.79</v>
      </c>
      <c r="E17">
        <v>18.95</v>
      </c>
      <c r="F17">
        <v>20.12</v>
      </c>
    </row>
    <row r="18" spans="1:6" x14ac:dyDescent="0.2">
      <c r="A18">
        <v>2011</v>
      </c>
      <c r="B18" t="s">
        <v>40</v>
      </c>
      <c r="C18">
        <v>5</v>
      </c>
      <c r="D18">
        <v>2.66</v>
      </c>
      <c r="E18">
        <v>19.670000000000002</v>
      </c>
      <c r="F18">
        <v>20.82</v>
      </c>
    </row>
    <row r="19" spans="1:6" x14ac:dyDescent="0.2">
      <c r="A19">
        <v>2011</v>
      </c>
      <c r="B19" t="s">
        <v>41</v>
      </c>
      <c r="C19">
        <v>6</v>
      </c>
      <c r="D19">
        <v>2.99</v>
      </c>
      <c r="E19">
        <v>20.64</v>
      </c>
      <c r="F19">
        <v>21.74</v>
      </c>
    </row>
    <row r="20" spans="1:6" x14ac:dyDescent="0.2">
      <c r="A20">
        <v>2011</v>
      </c>
      <c r="B20" t="s">
        <v>42</v>
      </c>
      <c r="C20">
        <v>7</v>
      </c>
      <c r="D20">
        <v>7.95</v>
      </c>
      <c r="E20">
        <v>21.77</v>
      </c>
      <c r="F20">
        <v>22.83</v>
      </c>
    </row>
    <row r="21" spans="1:6" x14ac:dyDescent="0.2">
      <c r="A21">
        <v>2011</v>
      </c>
      <c r="B21" t="s">
        <v>43</v>
      </c>
      <c r="C21">
        <v>8</v>
      </c>
      <c r="D21">
        <v>9.73</v>
      </c>
      <c r="E21">
        <v>22.91</v>
      </c>
      <c r="F21">
        <v>24.02</v>
      </c>
    </row>
    <row r="22" spans="1:6" x14ac:dyDescent="0.2">
      <c r="A22">
        <v>2011</v>
      </c>
      <c r="B22" t="s">
        <v>44</v>
      </c>
      <c r="C22">
        <v>9</v>
      </c>
      <c r="D22">
        <v>14.52</v>
      </c>
      <c r="E22">
        <v>23.91</v>
      </c>
      <c r="F22">
        <v>24.79</v>
      </c>
    </row>
    <row r="23" spans="1:6" x14ac:dyDescent="0.2">
      <c r="A23">
        <v>2011</v>
      </c>
      <c r="B23" t="s">
        <v>45</v>
      </c>
      <c r="C23">
        <v>10</v>
      </c>
      <c r="D23">
        <v>48.8</v>
      </c>
      <c r="E23">
        <v>23.55</v>
      </c>
      <c r="F23">
        <v>24.79</v>
      </c>
    </row>
    <row r="24" spans="1:6" x14ac:dyDescent="0.2">
      <c r="A24">
        <v>2011</v>
      </c>
      <c r="B24" t="s">
        <v>46</v>
      </c>
      <c r="C24">
        <v>11</v>
      </c>
      <c r="D24">
        <v>36.21</v>
      </c>
      <c r="E24">
        <v>21.99</v>
      </c>
      <c r="F24">
        <v>23.76</v>
      </c>
    </row>
    <row r="25" spans="1:6" x14ac:dyDescent="0.2">
      <c r="A25">
        <v>2011</v>
      </c>
      <c r="B25" t="s">
        <v>47</v>
      </c>
      <c r="C25">
        <v>12</v>
      </c>
      <c r="D25">
        <v>6.76</v>
      </c>
      <c r="E25">
        <v>20.81</v>
      </c>
      <c r="F25">
        <v>22.05</v>
      </c>
    </row>
    <row r="26" spans="1:6" x14ac:dyDescent="0.2">
      <c r="A26">
        <v>2012</v>
      </c>
      <c r="B26" t="s">
        <v>36</v>
      </c>
      <c r="C26">
        <v>1</v>
      </c>
      <c r="D26">
        <v>11.95</v>
      </c>
      <c r="E26">
        <v>19.36</v>
      </c>
      <c r="F26">
        <v>20.6</v>
      </c>
    </row>
    <row r="27" spans="1:6" x14ac:dyDescent="0.2">
      <c r="A27">
        <v>2012</v>
      </c>
      <c r="B27" t="s">
        <v>37</v>
      </c>
      <c r="C27">
        <v>2</v>
      </c>
      <c r="D27">
        <v>17.36</v>
      </c>
      <c r="E27">
        <v>18.23</v>
      </c>
      <c r="F27">
        <v>19.399999999999999</v>
      </c>
    </row>
    <row r="28" spans="1:6" x14ac:dyDescent="0.2">
      <c r="A28">
        <v>2012</v>
      </c>
      <c r="B28" t="s">
        <v>38</v>
      </c>
      <c r="C28">
        <v>3</v>
      </c>
      <c r="D28">
        <v>5.8</v>
      </c>
      <c r="E28">
        <v>18.25</v>
      </c>
      <c r="F28">
        <v>19.78</v>
      </c>
    </row>
    <row r="29" spans="1:6" x14ac:dyDescent="0.2">
      <c r="A29">
        <v>2012</v>
      </c>
      <c r="B29" s="14" t="s">
        <v>39</v>
      </c>
      <c r="C29">
        <v>4</v>
      </c>
      <c r="D29">
        <v>7.69</v>
      </c>
      <c r="E29">
        <v>18.77</v>
      </c>
      <c r="F29">
        <v>20.16</v>
      </c>
    </row>
    <row r="30" spans="1:6" x14ac:dyDescent="0.2">
      <c r="A30">
        <v>2012</v>
      </c>
      <c r="B30" t="s">
        <v>40</v>
      </c>
      <c r="C30">
        <v>5</v>
      </c>
      <c r="D30">
        <v>12.3</v>
      </c>
      <c r="E30">
        <v>20.420000000000002</v>
      </c>
      <c r="F30">
        <v>22.14</v>
      </c>
    </row>
    <row r="31" spans="1:6" x14ac:dyDescent="0.2">
      <c r="A31">
        <v>2012</v>
      </c>
      <c r="B31" t="s">
        <v>41</v>
      </c>
      <c r="C31">
        <v>6</v>
      </c>
      <c r="D31">
        <v>0</v>
      </c>
      <c r="E31">
        <v>22.71</v>
      </c>
      <c r="F31">
        <v>24.22</v>
      </c>
    </row>
    <row r="32" spans="1:6" x14ac:dyDescent="0.2">
      <c r="A32">
        <v>2012</v>
      </c>
      <c r="B32" t="s">
        <v>42</v>
      </c>
      <c r="C32">
        <v>7</v>
      </c>
      <c r="D32">
        <v>0.86</v>
      </c>
      <c r="E32">
        <v>22.99</v>
      </c>
      <c r="F32">
        <v>24.44</v>
      </c>
    </row>
    <row r="33" spans="1:6" x14ac:dyDescent="0.2">
      <c r="A33">
        <v>2012</v>
      </c>
      <c r="B33" t="s">
        <v>43</v>
      </c>
      <c r="C33">
        <v>8</v>
      </c>
      <c r="D33">
        <v>1.54</v>
      </c>
      <c r="E33">
        <v>23.99</v>
      </c>
      <c r="F33">
        <v>25.43</v>
      </c>
    </row>
    <row r="34" spans="1:6" x14ac:dyDescent="0.2">
      <c r="A34">
        <v>2012</v>
      </c>
      <c r="B34" t="s">
        <v>44</v>
      </c>
      <c r="C34">
        <v>9</v>
      </c>
      <c r="D34">
        <v>2.29</v>
      </c>
      <c r="E34">
        <v>24.82</v>
      </c>
      <c r="F34">
        <v>26.15</v>
      </c>
    </row>
    <row r="35" spans="1:6" x14ac:dyDescent="0.2">
      <c r="A35">
        <v>2012</v>
      </c>
      <c r="B35" t="s">
        <v>45</v>
      </c>
      <c r="C35">
        <v>10</v>
      </c>
      <c r="D35">
        <v>65.17</v>
      </c>
      <c r="E35">
        <v>23.99</v>
      </c>
      <c r="F35">
        <v>26.15</v>
      </c>
    </row>
    <row r="36" spans="1:6" x14ac:dyDescent="0.2">
      <c r="A36">
        <v>2012</v>
      </c>
      <c r="B36" t="s">
        <v>46</v>
      </c>
      <c r="C36">
        <v>11</v>
      </c>
      <c r="D36">
        <v>48.39</v>
      </c>
      <c r="E36">
        <v>22.21</v>
      </c>
      <c r="F36">
        <v>24.84</v>
      </c>
    </row>
    <row r="37" spans="1:6" x14ac:dyDescent="0.2">
      <c r="A37">
        <v>2012</v>
      </c>
      <c r="B37" t="s">
        <v>47</v>
      </c>
      <c r="C37">
        <v>12</v>
      </c>
      <c r="D37">
        <v>18.54</v>
      </c>
      <c r="E37">
        <v>20.71</v>
      </c>
      <c r="F37">
        <v>22.13</v>
      </c>
    </row>
    <row r="38" spans="1:6" x14ac:dyDescent="0.2">
      <c r="A38">
        <v>2013</v>
      </c>
      <c r="B38" t="s">
        <v>36</v>
      </c>
      <c r="C38">
        <v>1</v>
      </c>
      <c r="D38">
        <v>14.11</v>
      </c>
      <c r="E38">
        <v>19.690000000000001</v>
      </c>
      <c r="F38">
        <v>21.06</v>
      </c>
    </row>
    <row r="39" spans="1:6" x14ac:dyDescent="0.2">
      <c r="A39">
        <v>2013</v>
      </c>
      <c r="B39" t="s">
        <v>37</v>
      </c>
      <c r="C39">
        <v>2</v>
      </c>
      <c r="D39">
        <v>20.170000000000002</v>
      </c>
      <c r="E39">
        <v>19.13</v>
      </c>
      <c r="F39">
        <v>20.49</v>
      </c>
    </row>
    <row r="40" spans="1:6" x14ac:dyDescent="0.2">
      <c r="A40">
        <v>2013</v>
      </c>
      <c r="B40" t="s">
        <v>38</v>
      </c>
      <c r="C40">
        <v>3</v>
      </c>
      <c r="D40">
        <v>18.420000000000002</v>
      </c>
      <c r="E40">
        <v>19.5</v>
      </c>
      <c r="F40">
        <v>20.97</v>
      </c>
    </row>
    <row r="41" spans="1:6" x14ac:dyDescent="0.2">
      <c r="A41">
        <v>2013</v>
      </c>
      <c r="B41" s="14" t="s">
        <v>39</v>
      </c>
      <c r="C41">
        <v>4</v>
      </c>
      <c r="D41">
        <v>5.6</v>
      </c>
      <c r="E41">
        <v>19.899999999999999</v>
      </c>
      <c r="F41">
        <v>22.04</v>
      </c>
    </row>
    <row r="42" spans="1:6" x14ac:dyDescent="0.2">
      <c r="A42">
        <v>2013</v>
      </c>
      <c r="B42" t="s">
        <v>40</v>
      </c>
      <c r="C42">
        <v>5</v>
      </c>
      <c r="D42">
        <v>5.54</v>
      </c>
      <c r="E42">
        <v>20.39</v>
      </c>
      <c r="F42">
        <v>22.21</v>
      </c>
    </row>
    <row r="43" spans="1:6" x14ac:dyDescent="0.2">
      <c r="A43">
        <v>2013</v>
      </c>
      <c r="B43" t="s">
        <v>41</v>
      </c>
      <c r="C43">
        <v>6</v>
      </c>
      <c r="D43">
        <v>2.4</v>
      </c>
      <c r="E43">
        <v>20.95</v>
      </c>
      <c r="F43">
        <v>22.11</v>
      </c>
    </row>
    <row r="44" spans="1:6" x14ac:dyDescent="0.2">
      <c r="A44">
        <v>2013</v>
      </c>
      <c r="B44" t="s">
        <v>42</v>
      </c>
      <c r="C44">
        <v>7</v>
      </c>
      <c r="D44">
        <v>1.57</v>
      </c>
      <c r="E44">
        <v>22.13</v>
      </c>
      <c r="F44">
        <v>24.1</v>
      </c>
    </row>
    <row r="45" spans="1:6" x14ac:dyDescent="0.2">
      <c r="A45">
        <v>2013</v>
      </c>
      <c r="B45" t="s">
        <v>43</v>
      </c>
      <c r="C45">
        <v>8</v>
      </c>
      <c r="D45">
        <v>1.81</v>
      </c>
      <c r="E45">
        <v>23.26</v>
      </c>
      <c r="F45">
        <v>24.41</v>
      </c>
    </row>
    <row r="46" spans="1:6" x14ac:dyDescent="0.2">
      <c r="A46">
        <v>2013</v>
      </c>
      <c r="B46" t="s">
        <v>44</v>
      </c>
      <c r="C46">
        <v>9</v>
      </c>
      <c r="D46">
        <v>11.7</v>
      </c>
      <c r="E46">
        <v>23.49</v>
      </c>
      <c r="F46">
        <v>25.25</v>
      </c>
    </row>
    <row r="47" spans="1:6" x14ac:dyDescent="0.2">
      <c r="A47">
        <v>2013</v>
      </c>
      <c r="B47" t="s">
        <v>45</v>
      </c>
      <c r="C47">
        <v>10</v>
      </c>
      <c r="D47">
        <v>9.98</v>
      </c>
      <c r="E47">
        <v>23.25</v>
      </c>
      <c r="F47">
        <v>25.25</v>
      </c>
    </row>
    <row r="48" spans="1:6" x14ac:dyDescent="0.2">
      <c r="A48">
        <v>2013</v>
      </c>
      <c r="B48" t="s">
        <v>46</v>
      </c>
      <c r="C48">
        <v>11</v>
      </c>
      <c r="D48">
        <v>53.52</v>
      </c>
      <c r="E48">
        <v>22.02</v>
      </c>
      <c r="F48">
        <v>23.26</v>
      </c>
    </row>
    <row r="49" spans="1:6" x14ac:dyDescent="0.2">
      <c r="A49">
        <v>2013</v>
      </c>
      <c r="B49" t="s">
        <v>47</v>
      </c>
      <c r="C49">
        <v>12</v>
      </c>
      <c r="D49">
        <v>38.18</v>
      </c>
      <c r="E49">
        <v>20.83</v>
      </c>
      <c r="F49">
        <v>23.23</v>
      </c>
    </row>
    <row r="50" spans="1:6" x14ac:dyDescent="0.2">
      <c r="A50">
        <v>2014</v>
      </c>
      <c r="B50" t="s">
        <v>36</v>
      </c>
      <c r="C50">
        <v>1</v>
      </c>
      <c r="D50">
        <v>11.92</v>
      </c>
      <c r="E50">
        <v>19.34</v>
      </c>
      <c r="F50">
        <v>20.36</v>
      </c>
    </row>
    <row r="51" spans="1:6" x14ac:dyDescent="0.2">
      <c r="A51">
        <v>2014</v>
      </c>
      <c r="B51" t="s">
        <v>37</v>
      </c>
      <c r="C51">
        <v>2</v>
      </c>
      <c r="D51">
        <v>3.65</v>
      </c>
      <c r="E51">
        <v>18.440000000000001</v>
      </c>
      <c r="F51">
        <v>20.32</v>
      </c>
    </row>
    <row r="52" spans="1:6" x14ac:dyDescent="0.2">
      <c r="A52">
        <v>2014</v>
      </c>
      <c r="B52" t="s">
        <v>38</v>
      </c>
      <c r="C52">
        <v>3</v>
      </c>
      <c r="D52">
        <v>6.28</v>
      </c>
      <c r="E52">
        <v>18.34</v>
      </c>
      <c r="F52">
        <v>19.66</v>
      </c>
    </row>
    <row r="53" spans="1:6" x14ac:dyDescent="0.2">
      <c r="A53">
        <v>2014</v>
      </c>
      <c r="B53" s="14" t="s">
        <v>39</v>
      </c>
      <c r="C53">
        <v>4</v>
      </c>
      <c r="D53">
        <v>13.36</v>
      </c>
      <c r="E53">
        <v>19.23</v>
      </c>
      <c r="F53">
        <v>20.27</v>
      </c>
    </row>
    <row r="54" spans="1:6" x14ac:dyDescent="0.2">
      <c r="A54">
        <v>2014</v>
      </c>
      <c r="B54" t="s">
        <v>40</v>
      </c>
      <c r="C54">
        <v>5</v>
      </c>
      <c r="D54">
        <v>2.36</v>
      </c>
      <c r="E54">
        <v>19.920000000000002</v>
      </c>
      <c r="F54">
        <v>20.96</v>
      </c>
    </row>
    <row r="55" spans="1:6" x14ac:dyDescent="0.2">
      <c r="A55">
        <v>2014</v>
      </c>
      <c r="B55" t="s">
        <v>41</v>
      </c>
      <c r="C55">
        <v>6</v>
      </c>
      <c r="D55">
        <v>2.61</v>
      </c>
      <c r="E55">
        <v>21.2</v>
      </c>
      <c r="F55">
        <v>22.52</v>
      </c>
    </row>
    <row r="56" spans="1:6" x14ac:dyDescent="0.2">
      <c r="A56">
        <v>2014</v>
      </c>
      <c r="B56" t="s">
        <v>42</v>
      </c>
      <c r="C56">
        <v>7</v>
      </c>
      <c r="D56">
        <v>0.8</v>
      </c>
      <c r="E56">
        <v>22.68</v>
      </c>
      <c r="F56">
        <v>24.8</v>
      </c>
    </row>
    <row r="57" spans="1:6" x14ac:dyDescent="0.2">
      <c r="A57">
        <v>2014</v>
      </c>
      <c r="B57" t="s">
        <v>43</v>
      </c>
      <c r="C57">
        <v>8</v>
      </c>
      <c r="D57">
        <v>1.33</v>
      </c>
      <c r="E57">
        <v>24</v>
      </c>
      <c r="F57">
        <v>24.82</v>
      </c>
    </row>
    <row r="58" spans="1:6" x14ac:dyDescent="0.2">
      <c r="A58">
        <v>2014</v>
      </c>
      <c r="B58" t="s">
        <v>44</v>
      </c>
      <c r="C58">
        <v>9</v>
      </c>
      <c r="D58">
        <v>16.95</v>
      </c>
      <c r="E58">
        <v>24.45</v>
      </c>
      <c r="F58">
        <v>25.8</v>
      </c>
    </row>
    <row r="59" spans="1:6" x14ac:dyDescent="0.2">
      <c r="A59">
        <v>2014</v>
      </c>
      <c r="B59" t="s">
        <v>45</v>
      </c>
      <c r="C59">
        <v>10</v>
      </c>
      <c r="D59">
        <v>15.06</v>
      </c>
      <c r="E59">
        <v>23.48</v>
      </c>
      <c r="F59">
        <v>25.8</v>
      </c>
    </row>
    <row r="60" spans="1:6" x14ac:dyDescent="0.2">
      <c r="A60">
        <v>2014</v>
      </c>
      <c r="B60" t="s">
        <v>46</v>
      </c>
      <c r="C60">
        <v>11</v>
      </c>
      <c r="D60">
        <v>18.66</v>
      </c>
      <c r="E60">
        <v>21.89</v>
      </c>
      <c r="F60">
        <v>23.37</v>
      </c>
    </row>
    <row r="61" spans="1:6" x14ac:dyDescent="0.2">
      <c r="A61">
        <v>2014</v>
      </c>
      <c r="B61" t="s">
        <v>47</v>
      </c>
      <c r="C61">
        <v>12</v>
      </c>
      <c r="D61">
        <v>39.99</v>
      </c>
      <c r="E61">
        <v>20.29</v>
      </c>
      <c r="F61">
        <v>21.68</v>
      </c>
    </row>
    <row r="62" spans="1:6" x14ac:dyDescent="0.2">
      <c r="A62">
        <v>2015</v>
      </c>
      <c r="B62" t="s">
        <v>36</v>
      </c>
      <c r="C62">
        <v>1</v>
      </c>
      <c r="D62">
        <v>7.68</v>
      </c>
      <c r="E62">
        <v>18.940000000000001</v>
      </c>
      <c r="F62">
        <v>20.6</v>
      </c>
    </row>
    <row r="63" spans="1:6" x14ac:dyDescent="0.2">
      <c r="A63">
        <v>2015</v>
      </c>
      <c r="B63" t="s">
        <v>37</v>
      </c>
      <c r="C63">
        <v>2</v>
      </c>
      <c r="D63">
        <v>19.72</v>
      </c>
      <c r="E63">
        <v>18.2</v>
      </c>
      <c r="F63">
        <v>19.399999999999999</v>
      </c>
    </row>
    <row r="64" spans="1:6" x14ac:dyDescent="0.2">
      <c r="A64">
        <v>2015</v>
      </c>
      <c r="B64" t="s">
        <v>38</v>
      </c>
      <c r="C64">
        <v>3</v>
      </c>
      <c r="D64">
        <v>13.14</v>
      </c>
      <c r="E64">
        <v>17.98</v>
      </c>
      <c r="F64">
        <v>19.170000000000002</v>
      </c>
    </row>
    <row r="65" spans="1:6" x14ac:dyDescent="0.2">
      <c r="A65">
        <v>2015</v>
      </c>
      <c r="B65" s="14" t="s">
        <v>39</v>
      </c>
      <c r="C65">
        <v>4</v>
      </c>
      <c r="D65">
        <v>2.54</v>
      </c>
      <c r="E65">
        <v>18.36</v>
      </c>
      <c r="F65">
        <v>20.23</v>
      </c>
    </row>
    <row r="66" spans="1:6" x14ac:dyDescent="0.2">
      <c r="A66">
        <v>2015</v>
      </c>
      <c r="B66" t="s">
        <v>40</v>
      </c>
      <c r="C66">
        <v>5</v>
      </c>
      <c r="D66">
        <v>3.96</v>
      </c>
      <c r="E66">
        <v>20.07</v>
      </c>
      <c r="F66">
        <v>21.53</v>
      </c>
    </row>
    <row r="67" spans="1:6" x14ac:dyDescent="0.2">
      <c r="A67">
        <v>2015</v>
      </c>
      <c r="B67" t="s">
        <v>41</v>
      </c>
      <c r="C67">
        <v>6</v>
      </c>
      <c r="D67">
        <v>1.43</v>
      </c>
      <c r="E67">
        <v>21.12</v>
      </c>
      <c r="F67">
        <v>23.28</v>
      </c>
    </row>
    <row r="68" spans="1:6" x14ac:dyDescent="0.2">
      <c r="A68">
        <v>2015</v>
      </c>
      <c r="B68" t="s">
        <v>42</v>
      </c>
      <c r="C68">
        <v>7</v>
      </c>
      <c r="D68">
        <v>1.07</v>
      </c>
      <c r="E68">
        <v>23.22</v>
      </c>
      <c r="F68">
        <v>24.68</v>
      </c>
    </row>
    <row r="69" spans="1:6" x14ac:dyDescent="0.2">
      <c r="A69">
        <v>2015</v>
      </c>
      <c r="B69" t="s">
        <v>43</v>
      </c>
      <c r="C69">
        <v>8</v>
      </c>
      <c r="D69">
        <v>13.86</v>
      </c>
      <c r="E69">
        <v>24.12</v>
      </c>
      <c r="F69">
        <v>25.83</v>
      </c>
    </row>
    <row r="70" spans="1:6" x14ac:dyDescent="0.2">
      <c r="A70">
        <v>2015</v>
      </c>
      <c r="B70" t="s">
        <v>44</v>
      </c>
      <c r="C70">
        <v>9</v>
      </c>
      <c r="D70">
        <v>8.11</v>
      </c>
      <c r="E70">
        <v>24.7</v>
      </c>
      <c r="F70">
        <v>26.33</v>
      </c>
    </row>
    <row r="71" spans="1:6" x14ac:dyDescent="0.2">
      <c r="A71">
        <v>2015</v>
      </c>
      <c r="B71" t="s">
        <v>45</v>
      </c>
      <c r="C71">
        <v>10</v>
      </c>
      <c r="D71">
        <v>27.99</v>
      </c>
      <c r="E71">
        <v>23.63</v>
      </c>
      <c r="F71">
        <v>26.33</v>
      </c>
    </row>
    <row r="72" spans="1:6" x14ac:dyDescent="0.2">
      <c r="A72">
        <v>2015</v>
      </c>
      <c r="B72" t="s">
        <v>46</v>
      </c>
      <c r="C72">
        <v>11</v>
      </c>
      <c r="D72">
        <v>16.09</v>
      </c>
      <c r="E72">
        <v>22.43</v>
      </c>
      <c r="F72">
        <v>23.76</v>
      </c>
    </row>
    <row r="73" spans="1:6" x14ac:dyDescent="0.2">
      <c r="A73">
        <v>2015</v>
      </c>
      <c r="B73" t="s">
        <v>47</v>
      </c>
      <c r="C73">
        <v>12</v>
      </c>
      <c r="D73">
        <v>4.57</v>
      </c>
      <c r="E73">
        <v>21.06</v>
      </c>
      <c r="F73">
        <v>22.78</v>
      </c>
    </row>
    <row r="74" spans="1:6" x14ac:dyDescent="0.2">
      <c r="A74">
        <v>2016</v>
      </c>
      <c r="B74" t="s">
        <v>36</v>
      </c>
      <c r="C74">
        <v>1</v>
      </c>
      <c r="D74">
        <v>19.11</v>
      </c>
      <c r="E74">
        <v>20.399999999999999</v>
      </c>
      <c r="F74">
        <v>22.4</v>
      </c>
    </row>
    <row r="75" spans="1:6" x14ac:dyDescent="0.2">
      <c r="A75">
        <v>2016</v>
      </c>
      <c r="B75" t="s">
        <v>37</v>
      </c>
      <c r="C75">
        <v>2</v>
      </c>
      <c r="D75">
        <v>27.66</v>
      </c>
      <c r="E75">
        <v>19.32</v>
      </c>
      <c r="F75">
        <v>20.85</v>
      </c>
    </row>
    <row r="76" spans="1:6" x14ac:dyDescent="0.2">
      <c r="A76">
        <v>2016</v>
      </c>
      <c r="B76" t="s">
        <v>38</v>
      </c>
      <c r="C76">
        <v>3</v>
      </c>
      <c r="D76">
        <v>6.27</v>
      </c>
      <c r="E76">
        <v>18.77</v>
      </c>
      <c r="F76">
        <v>19.96</v>
      </c>
    </row>
    <row r="77" spans="1:6" x14ac:dyDescent="0.2">
      <c r="A77">
        <v>2016</v>
      </c>
      <c r="B77" s="14" t="s">
        <v>39</v>
      </c>
      <c r="C77">
        <v>4</v>
      </c>
      <c r="D77">
        <v>5.23</v>
      </c>
      <c r="E77">
        <v>19.41</v>
      </c>
      <c r="F77">
        <v>21.39</v>
      </c>
    </row>
    <row r="78" spans="1:6" x14ac:dyDescent="0.2">
      <c r="A78">
        <v>2016</v>
      </c>
      <c r="B78" t="s">
        <v>40</v>
      </c>
      <c r="C78">
        <v>5</v>
      </c>
      <c r="D78">
        <v>1.63</v>
      </c>
      <c r="E78">
        <v>20.12</v>
      </c>
      <c r="F78">
        <v>21.47</v>
      </c>
    </row>
    <row r="79" spans="1:6" x14ac:dyDescent="0.2">
      <c r="A79">
        <v>2016</v>
      </c>
      <c r="B79" t="s">
        <v>41</v>
      </c>
      <c r="C79">
        <v>6</v>
      </c>
      <c r="D79">
        <v>1.74</v>
      </c>
      <c r="E79">
        <v>22.16</v>
      </c>
      <c r="F79">
        <v>23.69</v>
      </c>
    </row>
    <row r="80" spans="1:6" x14ac:dyDescent="0.2">
      <c r="A80">
        <v>2016</v>
      </c>
      <c r="B80" t="s">
        <v>42</v>
      </c>
      <c r="C80">
        <v>7</v>
      </c>
      <c r="D80">
        <v>2.93</v>
      </c>
      <c r="E80">
        <v>22.39</v>
      </c>
      <c r="F80">
        <v>23.25</v>
      </c>
    </row>
    <row r="81" spans="1:6" x14ac:dyDescent="0.2">
      <c r="A81">
        <v>2016</v>
      </c>
      <c r="B81" t="s">
        <v>43</v>
      </c>
      <c r="C81">
        <v>8</v>
      </c>
      <c r="D81">
        <v>2.27</v>
      </c>
      <c r="E81">
        <v>23.39</v>
      </c>
      <c r="F81">
        <v>24.4</v>
      </c>
    </row>
    <row r="82" spans="1:6" x14ac:dyDescent="0.2">
      <c r="A82">
        <v>2016</v>
      </c>
      <c r="B82" t="s">
        <v>44</v>
      </c>
      <c r="C82">
        <v>9</v>
      </c>
      <c r="D82">
        <v>3.42</v>
      </c>
      <c r="E82">
        <v>23.77</v>
      </c>
      <c r="F82">
        <v>24.45</v>
      </c>
    </row>
    <row r="83" spans="1:6" x14ac:dyDescent="0.2">
      <c r="A83">
        <v>2016</v>
      </c>
      <c r="B83" t="s">
        <v>45</v>
      </c>
      <c r="C83">
        <v>10</v>
      </c>
      <c r="D83">
        <v>21.45</v>
      </c>
      <c r="E83">
        <v>23.21</v>
      </c>
      <c r="F83">
        <v>24.45</v>
      </c>
    </row>
    <row r="84" spans="1:6" x14ac:dyDescent="0.2">
      <c r="A84">
        <v>2016</v>
      </c>
      <c r="B84" t="s">
        <v>46</v>
      </c>
      <c r="C84">
        <v>11</v>
      </c>
      <c r="D84">
        <v>31.52</v>
      </c>
      <c r="E84">
        <v>21.63</v>
      </c>
      <c r="F84">
        <v>23.13</v>
      </c>
    </row>
    <row r="85" spans="1:6" x14ac:dyDescent="0.2">
      <c r="A85">
        <v>2016</v>
      </c>
      <c r="B85" t="s">
        <v>47</v>
      </c>
      <c r="C85">
        <v>12</v>
      </c>
      <c r="D85">
        <v>24.13</v>
      </c>
      <c r="E85">
        <v>20.56</v>
      </c>
      <c r="F85">
        <v>22.57</v>
      </c>
    </row>
    <row r="86" spans="1:6" x14ac:dyDescent="0.2">
      <c r="A86">
        <v>2017</v>
      </c>
      <c r="B86" t="s">
        <v>36</v>
      </c>
      <c r="C86">
        <v>1</v>
      </c>
      <c r="D86">
        <v>21.95</v>
      </c>
      <c r="E86">
        <v>19.420000000000002</v>
      </c>
      <c r="F86">
        <v>20.89</v>
      </c>
    </row>
    <row r="87" spans="1:6" x14ac:dyDescent="0.2">
      <c r="A87">
        <v>2017</v>
      </c>
      <c r="B87" t="s">
        <v>37</v>
      </c>
      <c r="C87">
        <v>2</v>
      </c>
      <c r="D87">
        <v>6.16</v>
      </c>
      <c r="E87">
        <v>19.13</v>
      </c>
      <c r="F87">
        <v>20.23</v>
      </c>
    </row>
    <row r="88" spans="1:6" x14ac:dyDescent="0.2">
      <c r="A88">
        <v>2017</v>
      </c>
      <c r="B88" t="s">
        <v>38</v>
      </c>
      <c r="C88">
        <v>3</v>
      </c>
      <c r="D88">
        <v>6.31</v>
      </c>
      <c r="E88">
        <v>18.72</v>
      </c>
      <c r="F88">
        <v>19.809999999999999</v>
      </c>
    </row>
    <row r="89" spans="1:6" x14ac:dyDescent="0.2">
      <c r="A89">
        <v>2017</v>
      </c>
      <c r="B89" s="14" t="s">
        <v>39</v>
      </c>
      <c r="C89">
        <v>4</v>
      </c>
      <c r="D89">
        <v>8</v>
      </c>
      <c r="E89">
        <v>19.75</v>
      </c>
      <c r="F89">
        <v>21.62</v>
      </c>
    </row>
    <row r="90" spans="1:6" x14ac:dyDescent="0.2">
      <c r="A90">
        <v>2017</v>
      </c>
      <c r="B90" t="s">
        <v>40</v>
      </c>
      <c r="C90">
        <v>5</v>
      </c>
      <c r="D90">
        <v>6.35</v>
      </c>
      <c r="E90">
        <v>20.77</v>
      </c>
      <c r="F90">
        <v>22.29</v>
      </c>
    </row>
    <row r="91" spans="1:6" x14ac:dyDescent="0.2">
      <c r="A91">
        <v>2017</v>
      </c>
      <c r="B91" t="s">
        <v>41</v>
      </c>
      <c r="C91">
        <v>6</v>
      </c>
      <c r="D91">
        <v>1</v>
      </c>
      <c r="E91">
        <v>21.95</v>
      </c>
      <c r="F91">
        <v>22.95</v>
      </c>
    </row>
    <row r="92" spans="1:6" x14ac:dyDescent="0.2">
      <c r="A92">
        <v>2017</v>
      </c>
      <c r="B92" t="s">
        <v>42</v>
      </c>
      <c r="C92">
        <v>7</v>
      </c>
      <c r="D92">
        <v>0.41</v>
      </c>
      <c r="E92">
        <v>22.71</v>
      </c>
      <c r="F92">
        <v>23.53</v>
      </c>
    </row>
    <row r="93" spans="1:6" x14ac:dyDescent="0.2">
      <c r="A93">
        <v>2017</v>
      </c>
      <c r="B93" t="s">
        <v>43</v>
      </c>
      <c r="C93">
        <v>8</v>
      </c>
      <c r="D93">
        <v>4.5199999999999996</v>
      </c>
      <c r="E93">
        <v>23.47</v>
      </c>
      <c r="F93">
        <v>24.47</v>
      </c>
    </row>
    <row r="94" spans="1:6" x14ac:dyDescent="0.2">
      <c r="A94">
        <v>2017</v>
      </c>
      <c r="B94" t="s">
        <v>44</v>
      </c>
      <c r="C94">
        <v>9</v>
      </c>
      <c r="D94">
        <v>9.1199999999999992</v>
      </c>
      <c r="E94">
        <v>23.63</v>
      </c>
      <c r="F94">
        <v>24.21</v>
      </c>
    </row>
    <row r="95" spans="1:6" x14ac:dyDescent="0.2">
      <c r="A95">
        <v>2017</v>
      </c>
      <c r="B95" t="s">
        <v>45</v>
      </c>
      <c r="C95">
        <v>10</v>
      </c>
      <c r="D95">
        <v>17.32</v>
      </c>
      <c r="E95">
        <v>23.26</v>
      </c>
      <c r="F95">
        <v>24.21</v>
      </c>
    </row>
    <row r="96" spans="1:6" x14ac:dyDescent="0.2">
      <c r="A96">
        <v>2017</v>
      </c>
      <c r="B96" t="s">
        <v>46</v>
      </c>
      <c r="C96">
        <v>11</v>
      </c>
      <c r="D96">
        <v>35.549999999999997</v>
      </c>
      <c r="E96">
        <v>22.45</v>
      </c>
      <c r="F96">
        <v>23.76</v>
      </c>
    </row>
    <row r="97" spans="1:6" x14ac:dyDescent="0.2">
      <c r="A97">
        <v>2017</v>
      </c>
      <c r="B97" t="s">
        <v>47</v>
      </c>
      <c r="C97">
        <v>12</v>
      </c>
      <c r="D97">
        <v>13.7</v>
      </c>
      <c r="E97">
        <v>20.98</v>
      </c>
      <c r="F97">
        <v>22.55</v>
      </c>
    </row>
    <row r="98" spans="1:6" x14ac:dyDescent="0.2">
      <c r="A98">
        <v>2018</v>
      </c>
      <c r="B98" t="s">
        <v>36</v>
      </c>
      <c r="C98">
        <v>1</v>
      </c>
      <c r="D98">
        <v>4.5199999999999996</v>
      </c>
      <c r="E98">
        <v>19.649999999999999</v>
      </c>
      <c r="F98">
        <v>20.85</v>
      </c>
    </row>
    <row r="99" spans="1:6" x14ac:dyDescent="0.2">
      <c r="A99">
        <v>2018</v>
      </c>
      <c r="B99" t="s">
        <v>37</v>
      </c>
      <c r="C99">
        <v>2</v>
      </c>
      <c r="D99">
        <v>13.2</v>
      </c>
      <c r="E99">
        <v>18.57</v>
      </c>
      <c r="F99">
        <v>19.920000000000002</v>
      </c>
    </row>
    <row r="100" spans="1:6" x14ac:dyDescent="0.2">
      <c r="A100">
        <v>2018</v>
      </c>
      <c r="B100" t="s">
        <v>38</v>
      </c>
      <c r="C100">
        <v>3</v>
      </c>
      <c r="D100">
        <v>9.2200000000000006</v>
      </c>
      <c r="E100">
        <v>19</v>
      </c>
      <c r="F100">
        <v>20.100000000000001</v>
      </c>
    </row>
    <row r="101" spans="1:6" x14ac:dyDescent="0.2">
      <c r="A101">
        <v>2018</v>
      </c>
      <c r="B101" s="14" t="s">
        <v>39</v>
      </c>
      <c r="C101">
        <v>4</v>
      </c>
      <c r="D101">
        <v>1.32</v>
      </c>
      <c r="E101">
        <v>18.920000000000002</v>
      </c>
      <c r="F101">
        <v>20.21</v>
      </c>
    </row>
    <row r="102" spans="1:6" x14ac:dyDescent="0.2">
      <c r="A102">
        <v>2018</v>
      </c>
      <c r="B102" t="s">
        <v>40</v>
      </c>
      <c r="C102">
        <v>5</v>
      </c>
      <c r="D102">
        <v>2.78</v>
      </c>
      <c r="E102">
        <v>19.3</v>
      </c>
      <c r="F102">
        <v>20.18</v>
      </c>
    </row>
    <row r="103" spans="1:6" x14ac:dyDescent="0.2">
      <c r="A103">
        <v>2018</v>
      </c>
      <c r="B103" t="s">
        <v>41</v>
      </c>
      <c r="C103">
        <v>6</v>
      </c>
      <c r="D103">
        <v>2.77</v>
      </c>
      <c r="E103">
        <v>20.75</v>
      </c>
      <c r="F103">
        <v>22.84</v>
      </c>
    </row>
    <row r="104" spans="1:6" x14ac:dyDescent="0.2">
      <c r="A104">
        <v>2018</v>
      </c>
      <c r="B104" t="s">
        <v>42</v>
      </c>
      <c r="C104">
        <v>7</v>
      </c>
      <c r="D104">
        <v>0.67</v>
      </c>
      <c r="E104">
        <v>22.28</v>
      </c>
      <c r="F104">
        <v>23.67</v>
      </c>
    </row>
    <row r="105" spans="1:6" x14ac:dyDescent="0.2">
      <c r="A105">
        <v>2018</v>
      </c>
      <c r="B105" t="s">
        <v>43</v>
      </c>
      <c r="C105">
        <v>8</v>
      </c>
      <c r="D105">
        <v>1.36</v>
      </c>
      <c r="E105">
        <v>23.46</v>
      </c>
      <c r="F105">
        <v>24.17</v>
      </c>
    </row>
    <row r="106" spans="1:6" x14ac:dyDescent="0.2">
      <c r="A106">
        <v>2018</v>
      </c>
      <c r="B106" t="s">
        <v>44</v>
      </c>
      <c r="C106">
        <v>9</v>
      </c>
      <c r="D106">
        <v>3.86</v>
      </c>
      <c r="E106">
        <v>23.68</v>
      </c>
      <c r="F106">
        <v>24.77</v>
      </c>
    </row>
    <row r="107" spans="1:6" x14ac:dyDescent="0.2">
      <c r="A107">
        <v>2018</v>
      </c>
      <c r="B107" t="s">
        <v>45</v>
      </c>
      <c r="C107">
        <v>10</v>
      </c>
      <c r="D107">
        <v>44.44</v>
      </c>
      <c r="E107">
        <v>23.31</v>
      </c>
      <c r="F107">
        <v>24.77</v>
      </c>
    </row>
    <row r="108" spans="1:6" x14ac:dyDescent="0.2">
      <c r="A108">
        <v>2018</v>
      </c>
      <c r="B108" t="s">
        <v>46</v>
      </c>
      <c r="C108">
        <v>11</v>
      </c>
      <c r="D108">
        <v>15.36</v>
      </c>
      <c r="E108">
        <v>21.48</v>
      </c>
      <c r="F108">
        <v>23.37</v>
      </c>
    </row>
    <row r="109" spans="1:6" x14ac:dyDescent="0.2">
      <c r="A109">
        <v>2018</v>
      </c>
      <c r="B109" t="s">
        <v>47</v>
      </c>
      <c r="C109">
        <v>12</v>
      </c>
      <c r="D109">
        <v>14.23</v>
      </c>
      <c r="E109">
        <v>20.76</v>
      </c>
      <c r="F109">
        <v>21.95</v>
      </c>
    </row>
    <row r="110" spans="1:6" x14ac:dyDescent="0.2">
      <c r="A110">
        <v>2019</v>
      </c>
      <c r="B110" t="s">
        <v>36</v>
      </c>
      <c r="C110">
        <v>1</v>
      </c>
      <c r="D110">
        <v>11.95</v>
      </c>
      <c r="E110">
        <v>19.68</v>
      </c>
      <c r="F110">
        <v>21.27</v>
      </c>
    </row>
    <row r="111" spans="1:6" x14ac:dyDescent="0.2">
      <c r="A111">
        <v>2019</v>
      </c>
      <c r="B111" t="s">
        <v>37</v>
      </c>
      <c r="C111">
        <v>2</v>
      </c>
      <c r="D111">
        <v>12.25</v>
      </c>
      <c r="E111">
        <v>19.170000000000002</v>
      </c>
      <c r="F111">
        <v>20.52</v>
      </c>
    </row>
    <row r="112" spans="1:6" x14ac:dyDescent="0.2">
      <c r="A112">
        <v>2019</v>
      </c>
      <c r="B112" t="s">
        <v>38</v>
      </c>
      <c r="C112">
        <v>3</v>
      </c>
      <c r="D112">
        <v>5.18</v>
      </c>
      <c r="E112">
        <v>18.88</v>
      </c>
      <c r="F112">
        <v>20.03</v>
      </c>
    </row>
    <row r="113" spans="1:6" x14ac:dyDescent="0.2">
      <c r="A113">
        <v>2019</v>
      </c>
      <c r="B113" s="14" t="s">
        <v>39</v>
      </c>
      <c r="C113">
        <v>4</v>
      </c>
      <c r="D113">
        <v>9.3800000000000008</v>
      </c>
      <c r="E113">
        <v>19.02</v>
      </c>
      <c r="F113">
        <v>20.05</v>
      </c>
    </row>
    <row r="114" spans="1:6" x14ac:dyDescent="0.2">
      <c r="A114">
        <v>2019</v>
      </c>
      <c r="B114" t="s">
        <v>40</v>
      </c>
      <c r="C114">
        <v>5</v>
      </c>
      <c r="D114">
        <v>1.44</v>
      </c>
      <c r="E114">
        <v>20.34</v>
      </c>
      <c r="F114">
        <v>21.43</v>
      </c>
    </row>
    <row r="115" spans="1:6" x14ac:dyDescent="0.2">
      <c r="A115">
        <v>2019</v>
      </c>
      <c r="B115" t="s">
        <v>41</v>
      </c>
      <c r="C115">
        <v>6</v>
      </c>
      <c r="D115">
        <v>1.18</v>
      </c>
      <c r="E115">
        <v>21.36</v>
      </c>
      <c r="F115">
        <v>23.53</v>
      </c>
    </row>
    <row r="116" spans="1:6" x14ac:dyDescent="0.2">
      <c r="A116">
        <v>2019</v>
      </c>
      <c r="B116" s="14" t="s">
        <v>42</v>
      </c>
      <c r="C116">
        <v>7</v>
      </c>
      <c r="D116">
        <v>0.85</v>
      </c>
      <c r="E116">
        <v>22.83</v>
      </c>
      <c r="F116">
        <v>24.13</v>
      </c>
    </row>
    <row r="117" spans="1:6" x14ac:dyDescent="0.2">
      <c r="A117">
        <v>2019</v>
      </c>
      <c r="B117" t="s">
        <v>43</v>
      </c>
      <c r="C117">
        <v>8</v>
      </c>
      <c r="D117">
        <v>1.03</v>
      </c>
      <c r="E117">
        <v>24.12</v>
      </c>
      <c r="F117">
        <v>25.34</v>
      </c>
    </row>
    <row r="118" spans="1:6" x14ac:dyDescent="0.2">
      <c r="A118">
        <v>2019</v>
      </c>
      <c r="B118" t="s">
        <v>44</v>
      </c>
      <c r="C118">
        <v>9</v>
      </c>
      <c r="D118">
        <v>9.5</v>
      </c>
      <c r="E118">
        <v>23.7</v>
      </c>
      <c r="F118">
        <v>24.94</v>
      </c>
    </row>
    <row r="119" spans="1:6" x14ac:dyDescent="0.2">
      <c r="A119">
        <v>2019</v>
      </c>
      <c r="B119" t="s">
        <v>45</v>
      </c>
      <c r="C119">
        <v>10</v>
      </c>
      <c r="D119">
        <v>4.9000000000000004</v>
      </c>
      <c r="E119">
        <v>23.33</v>
      </c>
      <c r="F119">
        <v>24.94</v>
      </c>
    </row>
    <row r="120" spans="1:6" x14ac:dyDescent="0.2">
      <c r="A120">
        <v>2019</v>
      </c>
      <c r="B120" t="s">
        <v>46</v>
      </c>
      <c r="C120">
        <v>11</v>
      </c>
      <c r="D120">
        <v>11.73</v>
      </c>
      <c r="E120">
        <v>22.32</v>
      </c>
      <c r="F120">
        <v>23.97</v>
      </c>
    </row>
    <row r="121" spans="1:6" x14ac:dyDescent="0.2">
      <c r="A121">
        <v>2019</v>
      </c>
      <c r="B121" t="s">
        <v>47</v>
      </c>
      <c r="C121">
        <v>12</v>
      </c>
      <c r="D121">
        <v>7.18</v>
      </c>
      <c r="E121">
        <v>21.07</v>
      </c>
      <c r="F121">
        <v>22.3</v>
      </c>
    </row>
    <row r="122" spans="1:6" x14ac:dyDescent="0.2">
      <c r="A122">
        <v>2020</v>
      </c>
      <c r="B122" t="s">
        <v>36</v>
      </c>
      <c r="C122">
        <v>1</v>
      </c>
      <c r="D122">
        <v>3.39</v>
      </c>
      <c r="E122">
        <v>19.61</v>
      </c>
      <c r="F122">
        <v>20.84</v>
      </c>
    </row>
    <row r="123" spans="1:6" x14ac:dyDescent="0.2">
      <c r="A123">
        <v>2020</v>
      </c>
      <c r="B123" t="s">
        <v>37</v>
      </c>
      <c r="C123">
        <v>2</v>
      </c>
      <c r="D123">
        <v>7.72</v>
      </c>
      <c r="E123">
        <v>19.760000000000002</v>
      </c>
      <c r="F123">
        <v>21.26</v>
      </c>
    </row>
    <row r="124" spans="1:6" x14ac:dyDescent="0.2">
      <c r="A124">
        <v>2020</v>
      </c>
      <c r="B124" t="s">
        <v>38</v>
      </c>
      <c r="C124">
        <v>3</v>
      </c>
      <c r="D124">
        <v>4.3600000000000003</v>
      </c>
      <c r="E124">
        <v>19.45</v>
      </c>
      <c r="F124">
        <v>20.63</v>
      </c>
    </row>
    <row r="125" spans="1:6" x14ac:dyDescent="0.2">
      <c r="A125">
        <v>2020</v>
      </c>
      <c r="B125" s="14" t="s">
        <v>39</v>
      </c>
      <c r="C125">
        <v>4</v>
      </c>
      <c r="D125">
        <v>4.67</v>
      </c>
      <c r="E125">
        <v>19.940000000000001</v>
      </c>
      <c r="F125">
        <v>21.32</v>
      </c>
    </row>
    <row r="126" spans="1:6" x14ac:dyDescent="0.2">
      <c r="A126">
        <v>2020</v>
      </c>
      <c r="B126" t="s">
        <v>40</v>
      </c>
      <c r="C126">
        <v>5</v>
      </c>
      <c r="D126">
        <v>1.7</v>
      </c>
      <c r="E126">
        <v>20.54</v>
      </c>
      <c r="F126">
        <v>21.74</v>
      </c>
    </row>
    <row r="127" spans="1:6" x14ac:dyDescent="0.2">
      <c r="A127">
        <v>2020</v>
      </c>
      <c r="B127" t="s">
        <v>41</v>
      </c>
      <c r="C127">
        <v>6</v>
      </c>
      <c r="D127">
        <v>18.8</v>
      </c>
      <c r="E127">
        <v>21.82</v>
      </c>
      <c r="F127">
        <v>23.04</v>
      </c>
    </row>
    <row r="128" spans="1:6" x14ac:dyDescent="0.2">
      <c r="A128">
        <v>2020</v>
      </c>
      <c r="B128" s="14" t="s">
        <v>42</v>
      </c>
      <c r="C128">
        <v>7</v>
      </c>
      <c r="D128">
        <v>1.58</v>
      </c>
      <c r="E128">
        <v>22.63</v>
      </c>
      <c r="F128">
        <v>23.32</v>
      </c>
    </row>
    <row r="129" spans="1:6" x14ac:dyDescent="0.2">
      <c r="A129">
        <v>2020</v>
      </c>
      <c r="B129" t="s">
        <v>43</v>
      </c>
      <c r="C129">
        <v>8</v>
      </c>
      <c r="D129">
        <v>0.67</v>
      </c>
      <c r="E129">
        <v>23.58</v>
      </c>
      <c r="F129">
        <v>24.44</v>
      </c>
    </row>
    <row r="130" spans="1:6" x14ac:dyDescent="0.2">
      <c r="A130">
        <v>2020</v>
      </c>
      <c r="B130" t="s">
        <v>44</v>
      </c>
      <c r="C130">
        <v>9</v>
      </c>
      <c r="D130">
        <v>23.32</v>
      </c>
      <c r="E130">
        <v>23.8</v>
      </c>
      <c r="F130">
        <v>24.81</v>
      </c>
    </row>
    <row r="131" spans="1:6" x14ac:dyDescent="0.2">
      <c r="A131">
        <v>2020</v>
      </c>
      <c r="B131" t="s">
        <v>45</v>
      </c>
      <c r="C131">
        <v>10</v>
      </c>
      <c r="D131">
        <v>15.18</v>
      </c>
      <c r="E131">
        <v>23.39</v>
      </c>
      <c r="F131">
        <v>24.81</v>
      </c>
    </row>
    <row r="132" spans="1:6" x14ac:dyDescent="0.2">
      <c r="A132">
        <v>2020</v>
      </c>
      <c r="B132" t="s">
        <v>46</v>
      </c>
      <c r="C132">
        <v>11</v>
      </c>
      <c r="D132">
        <v>23.44</v>
      </c>
      <c r="E132">
        <v>22.13</v>
      </c>
      <c r="F132">
        <v>23.85</v>
      </c>
    </row>
    <row r="133" spans="1:6" x14ac:dyDescent="0.2">
      <c r="A133">
        <v>2020</v>
      </c>
      <c r="B133" t="s">
        <v>47</v>
      </c>
      <c r="C133">
        <v>12</v>
      </c>
      <c r="D133">
        <v>21.22</v>
      </c>
      <c r="E133">
        <v>20.440000000000001</v>
      </c>
      <c r="F133">
        <v>21.79</v>
      </c>
    </row>
    <row r="134" spans="1:6" x14ac:dyDescent="0.2">
      <c r="A134">
        <v>2021</v>
      </c>
      <c r="B134" t="s">
        <v>36</v>
      </c>
      <c r="C134">
        <v>1</v>
      </c>
      <c r="D134">
        <v>46.16</v>
      </c>
      <c r="E134">
        <v>19.850000000000001</v>
      </c>
      <c r="F134">
        <v>21.79</v>
      </c>
    </row>
    <row r="135" spans="1:6" x14ac:dyDescent="0.2">
      <c r="A135">
        <v>2021</v>
      </c>
      <c r="B135" t="s">
        <v>37</v>
      </c>
      <c r="C135">
        <v>2</v>
      </c>
      <c r="D135">
        <v>2.73</v>
      </c>
      <c r="E135">
        <v>19.13</v>
      </c>
      <c r="F135">
        <v>20.59</v>
      </c>
    </row>
    <row r="136" spans="1:6" x14ac:dyDescent="0.2">
      <c r="A136">
        <v>2021</v>
      </c>
      <c r="B136" t="s">
        <v>38</v>
      </c>
      <c r="C136">
        <v>3</v>
      </c>
      <c r="D136">
        <v>2.99</v>
      </c>
      <c r="E136">
        <v>19.079999999999998</v>
      </c>
      <c r="F136">
        <v>20.079999999999998</v>
      </c>
    </row>
    <row r="137" spans="1:6" x14ac:dyDescent="0.2">
      <c r="A137">
        <v>2021</v>
      </c>
      <c r="B137" s="14" t="s">
        <v>39</v>
      </c>
      <c r="C137">
        <v>4</v>
      </c>
      <c r="D137">
        <v>8.34</v>
      </c>
      <c r="E137">
        <v>20.190000000000001</v>
      </c>
      <c r="F137">
        <v>21.91</v>
      </c>
    </row>
    <row r="138" spans="1:6" x14ac:dyDescent="0.2">
      <c r="A138">
        <v>2021</v>
      </c>
      <c r="B138" t="s">
        <v>40</v>
      </c>
      <c r="C138">
        <v>5</v>
      </c>
      <c r="D138">
        <v>1.32</v>
      </c>
      <c r="E138">
        <v>20.56</v>
      </c>
      <c r="F138">
        <v>21.5</v>
      </c>
    </row>
    <row r="139" spans="1:6" x14ac:dyDescent="0.2">
      <c r="A139">
        <v>2021</v>
      </c>
      <c r="B139" t="s">
        <v>41</v>
      </c>
      <c r="C139">
        <v>6</v>
      </c>
      <c r="D139">
        <v>11.88</v>
      </c>
      <c r="E139">
        <v>21.25</v>
      </c>
      <c r="F139">
        <v>22.41</v>
      </c>
    </row>
    <row r="140" spans="1:6" x14ac:dyDescent="0.2">
      <c r="A140">
        <v>2021</v>
      </c>
      <c r="B140" t="s">
        <v>42</v>
      </c>
      <c r="C140">
        <v>7</v>
      </c>
      <c r="D140">
        <v>1.87</v>
      </c>
      <c r="E140">
        <v>22.66</v>
      </c>
      <c r="F140">
        <v>23.66</v>
      </c>
    </row>
    <row r="141" spans="1:6" x14ac:dyDescent="0.2">
      <c r="A141">
        <v>2021</v>
      </c>
      <c r="B141" t="s">
        <v>43</v>
      </c>
      <c r="C141">
        <v>8</v>
      </c>
      <c r="D141">
        <v>0.93</v>
      </c>
      <c r="E141">
        <v>23.64</v>
      </c>
      <c r="F141">
        <v>25.25</v>
      </c>
    </row>
    <row r="142" spans="1:6" x14ac:dyDescent="0.2">
      <c r="A142">
        <v>2021</v>
      </c>
      <c r="B142" t="s">
        <v>44</v>
      </c>
      <c r="C142">
        <v>9</v>
      </c>
      <c r="D142">
        <v>9.4600000000000009</v>
      </c>
      <c r="E142">
        <v>24.5</v>
      </c>
      <c r="F142">
        <v>25.69</v>
      </c>
    </row>
    <row r="143" spans="1:6" x14ac:dyDescent="0.2">
      <c r="A143">
        <v>2021</v>
      </c>
      <c r="B143" t="s">
        <v>45</v>
      </c>
      <c r="C143">
        <v>10</v>
      </c>
      <c r="D143">
        <v>0.85</v>
      </c>
      <c r="E143">
        <v>23.26</v>
      </c>
      <c r="F143">
        <v>25.69</v>
      </c>
    </row>
    <row r="144" spans="1:6" x14ac:dyDescent="0.2">
      <c r="A144">
        <v>2021</v>
      </c>
      <c r="B144" t="s">
        <v>46</v>
      </c>
      <c r="C144">
        <v>11</v>
      </c>
      <c r="D144">
        <v>59.1</v>
      </c>
      <c r="E144">
        <v>22.52</v>
      </c>
      <c r="F144">
        <v>23.52</v>
      </c>
    </row>
    <row r="145" spans="1:6" x14ac:dyDescent="0.2">
      <c r="A145">
        <v>2021</v>
      </c>
      <c r="B145" t="s">
        <v>47</v>
      </c>
      <c r="C145">
        <v>12</v>
      </c>
      <c r="D145">
        <v>6.01</v>
      </c>
      <c r="E145">
        <v>20.73</v>
      </c>
      <c r="F145">
        <v>22.06</v>
      </c>
    </row>
    <row r="146" spans="1:6" x14ac:dyDescent="0.2">
      <c r="A146">
        <v>2022</v>
      </c>
      <c r="B146" t="s">
        <v>36</v>
      </c>
      <c r="C146">
        <v>1</v>
      </c>
      <c r="D146">
        <v>21.32</v>
      </c>
      <c r="E146">
        <v>20.079999999999998</v>
      </c>
      <c r="F146">
        <v>21.5</v>
      </c>
    </row>
    <row r="147" spans="1:6" x14ac:dyDescent="0.2">
      <c r="A147">
        <v>2022</v>
      </c>
      <c r="B147" t="s">
        <v>37</v>
      </c>
      <c r="C147">
        <v>2</v>
      </c>
      <c r="D147">
        <v>8.6199999999999992</v>
      </c>
      <c r="E147">
        <v>19.5</v>
      </c>
      <c r="F147">
        <v>20.83</v>
      </c>
    </row>
    <row r="148" spans="1:6" x14ac:dyDescent="0.2">
      <c r="A148">
        <v>2022</v>
      </c>
      <c r="B148" t="s">
        <v>38</v>
      </c>
      <c r="C148">
        <v>3</v>
      </c>
      <c r="D148">
        <v>5.59</v>
      </c>
      <c r="E148">
        <v>18.97</v>
      </c>
      <c r="F148">
        <v>20.32</v>
      </c>
    </row>
    <row r="149" spans="1:6" x14ac:dyDescent="0.2">
      <c r="A149">
        <v>2022</v>
      </c>
      <c r="B149" s="14" t="s">
        <v>39</v>
      </c>
      <c r="C149">
        <v>4</v>
      </c>
      <c r="D149">
        <v>6.63</v>
      </c>
      <c r="E149">
        <v>19.45</v>
      </c>
      <c r="F149">
        <v>20.69</v>
      </c>
    </row>
    <row r="150" spans="1:6" x14ac:dyDescent="0.2">
      <c r="A150">
        <v>2022</v>
      </c>
      <c r="B150" t="s">
        <v>40</v>
      </c>
      <c r="C150">
        <v>5</v>
      </c>
      <c r="D150">
        <v>3.92</v>
      </c>
      <c r="E150">
        <v>20.47</v>
      </c>
      <c r="F150">
        <v>21.88</v>
      </c>
    </row>
    <row r="151" spans="1:6" x14ac:dyDescent="0.2">
      <c r="A151">
        <v>2022</v>
      </c>
      <c r="B151" t="s">
        <v>41</v>
      </c>
      <c r="C151">
        <v>6</v>
      </c>
      <c r="D151">
        <v>3.51</v>
      </c>
      <c r="E151">
        <v>21.42</v>
      </c>
      <c r="F151">
        <v>22.55</v>
      </c>
    </row>
    <row r="152" spans="1:6" x14ac:dyDescent="0.2">
      <c r="A152">
        <v>2022</v>
      </c>
      <c r="B152" s="14" t="s">
        <v>42</v>
      </c>
      <c r="C152">
        <v>7</v>
      </c>
      <c r="D152">
        <v>7.83</v>
      </c>
      <c r="E152">
        <v>22.12</v>
      </c>
      <c r="F152">
        <v>23.13</v>
      </c>
    </row>
    <row r="153" spans="1:6" x14ac:dyDescent="0.2">
      <c r="A153">
        <v>2022</v>
      </c>
      <c r="B153" t="s">
        <v>43</v>
      </c>
      <c r="C153">
        <v>8</v>
      </c>
      <c r="D153">
        <v>4.21</v>
      </c>
      <c r="E153">
        <v>23.02</v>
      </c>
      <c r="F153">
        <v>23.84</v>
      </c>
    </row>
    <row r="154" spans="1:6" x14ac:dyDescent="0.2">
      <c r="A154">
        <v>2022</v>
      </c>
      <c r="B154" t="s">
        <v>44</v>
      </c>
      <c r="C154">
        <v>9</v>
      </c>
      <c r="D154">
        <v>22.4</v>
      </c>
      <c r="E154">
        <v>24.23</v>
      </c>
      <c r="F154">
        <v>25.46</v>
      </c>
    </row>
    <row r="155" spans="1:6" x14ac:dyDescent="0.2">
      <c r="A155">
        <v>2022</v>
      </c>
      <c r="B155" t="s">
        <v>45</v>
      </c>
      <c r="C155">
        <v>10</v>
      </c>
      <c r="D155">
        <v>7.57</v>
      </c>
      <c r="E155">
        <v>23.42</v>
      </c>
      <c r="F155">
        <v>25.46</v>
      </c>
    </row>
    <row r="156" spans="1:6" x14ac:dyDescent="0.2">
      <c r="A156">
        <v>2022</v>
      </c>
      <c r="B156" t="s">
        <v>46</v>
      </c>
      <c r="C156">
        <v>11</v>
      </c>
      <c r="D156">
        <v>11.4</v>
      </c>
      <c r="E156">
        <v>22.69</v>
      </c>
      <c r="F156">
        <v>24.04</v>
      </c>
    </row>
    <row r="157" spans="1:6" x14ac:dyDescent="0.2">
      <c r="A157">
        <v>2022</v>
      </c>
      <c r="B157" t="s">
        <v>47</v>
      </c>
      <c r="C157">
        <v>12</v>
      </c>
      <c r="D157">
        <v>16.3</v>
      </c>
      <c r="E157">
        <v>21.88</v>
      </c>
      <c r="F157">
        <v>23.32</v>
      </c>
    </row>
    <row r="158" spans="1:6" x14ac:dyDescent="0.2">
      <c r="A158">
        <v>2023</v>
      </c>
      <c r="B158" t="s">
        <v>36</v>
      </c>
      <c r="C158">
        <v>1</v>
      </c>
      <c r="D158">
        <v>6.12</v>
      </c>
      <c r="E158">
        <v>20.5</v>
      </c>
      <c r="F158">
        <v>21.69</v>
      </c>
    </row>
    <row r="159" spans="1:6" x14ac:dyDescent="0.2">
      <c r="A159">
        <v>2023</v>
      </c>
      <c r="B159" t="s">
        <v>37</v>
      </c>
      <c r="C159">
        <v>2</v>
      </c>
      <c r="D159">
        <v>2.11</v>
      </c>
      <c r="E159">
        <v>19.059999999999999</v>
      </c>
      <c r="F159">
        <v>21.16</v>
      </c>
    </row>
    <row r="160" spans="1:6" x14ac:dyDescent="0.2">
      <c r="A160">
        <v>2023</v>
      </c>
      <c r="B160" t="s">
        <v>38</v>
      </c>
      <c r="C160">
        <v>3</v>
      </c>
      <c r="D160">
        <v>2.56</v>
      </c>
      <c r="E160">
        <v>20.49</v>
      </c>
      <c r="F160">
        <v>22.21</v>
      </c>
    </row>
    <row r="161" spans="1:6" x14ac:dyDescent="0.2">
      <c r="A161">
        <v>2023</v>
      </c>
      <c r="B161" s="14" t="s">
        <v>39</v>
      </c>
      <c r="C161">
        <v>4</v>
      </c>
      <c r="D161">
        <v>3.14</v>
      </c>
      <c r="E161">
        <v>20.77</v>
      </c>
      <c r="F161">
        <v>22.94</v>
      </c>
    </row>
    <row r="162" spans="1:6" x14ac:dyDescent="0.2">
      <c r="A162">
        <v>2023</v>
      </c>
      <c r="B162" t="s">
        <v>40</v>
      </c>
      <c r="C162">
        <v>5</v>
      </c>
      <c r="D162">
        <v>0.9</v>
      </c>
      <c r="E162">
        <v>21.42</v>
      </c>
      <c r="F162">
        <v>23.49</v>
      </c>
    </row>
    <row r="163" spans="1:6" x14ac:dyDescent="0.2">
      <c r="A163">
        <v>2023</v>
      </c>
      <c r="B163" t="s">
        <v>41</v>
      </c>
      <c r="C163">
        <v>6</v>
      </c>
      <c r="D163">
        <v>15.59</v>
      </c>
      <c r="E163">
        <v>22.98</v>
      </c>
      <c r="F163">
        <v>24.58</v>
      </c>
    </row>
    <row r="164" spans="1:6" x14ac:dyDescent="0.2">
      <c r="A164">
        <v>2023</v>
      </c>
      <c r="B164" s="14" t="s">
        <v>42</v>
      </c>
      <c r="C164">
        <v>7</v>
      </c>
      <c r="D164">
        <v>0.33</v>
      </c>
      <c r="E164">
        <v>23.93</v>
      </c>
      <c r="F164">
        <v>25.02</v>
      </c>
    </row>
    <row r="165" spans="1:6" x14ac:dyDescent="0.2">
      <c r="A165">
        <v>2023</v>
      </c>
      <c r="B165" t="s">
        <v>43</v>
      </c>
      <c r="C165">
        <v>8</v>
      </c>
      <c r="D165">
        <v>6.01</v>
      </c>
      <c r="E165">
        <v>24.9</v>
      </c>
      <c r="F165">
        <v>25.87</v>
      </c>
    </row>
    <row r="166" spans="1:6" x14ac:dyDescent="0.2">
      <c r="A166">
        <v>2023</v>
      </c>
      <c r="B166" t="s">
        <v>44</v>
      </c>
      <c r="C166">
        <v>9</v>
      </c>
      <c r="D166">
        <v>3.4</v>
      </c>
      <c r="E166">
        <v>24.78</v>
      </c>
      <c r="F166">
        <v>25.87</v>
      </c>
    </row>
    <row r="167" spans="1:6" x14ac:dyDescent="0.2">
      <c r="A167">
        <v>2023</v>
      </c>
      <c r="B167" t="s">
        <v>45</v>
      </c>
      <c r="C167">
        <v>10</v>
      </c>
      <c r="D167">
        <v>10.17</v>
      </c>
      <c r="E167">
        <v>25.35</v>
      </c>
      <c r="F167">
        <v>25.87</v>
      </c>
    </row>
    <row r="168" spans="1:6" x14ac:dyDescent="0.2">
      <c r="A168">
        <v>2023</v>
      </c>
      <c r="B168" t="s">
        <v>46</v>
      </c>
      <c r="C168">
        <v>11</v>
      </c>
      <c r="D168">
        <v>14.49</v>
      </c>
      <c r="E168">
        <v>23.56</v>
      </c>
      <c r="F168">
        <v>25.16</v>
      </c>
    </row>
    <row r="169" spans="1:6" x14ac:dyDescent="0.2">
      <c r="A169">
        <v>2023</v>
      </c>
      <c r="B169" t="s">
        <v>47</v>
      </c>
      <c r="C169">
        <v>12</v>
      </c>
      <c r="D169">
        <v>9.74</v>
      </c>
      <c r="E169">
        <v>22.3</v>
      </c>
      <c r="F169">
        <v>23.5</v>
      </c>
    </row>
    <row r="170" spans="1:6" x14ac:dyDescent="0.2">
      <c r="A170">
        <v>2024</v>
      </c>
      <c r="B170" t="s">
        <v>36</v>
      </c>
      <c r="C170">
        <v>1</v>
      </c>
      <c r="D170">
        <v>22.14</v>
      </c>
      <c r="E170">
        <v>21.4</v>
      </c>
      <c r="F170">
        <v>23.01</v>
      </c>
    </row>
    <row r="171" spans="1:6" x14ac:dyDescent="0.2">
      <c r="A171">
        <v>2024</v>
      </c>
      <c r="B171" t="s">
        <v>37</v>
      </c>
      <c r="C171">
        <v>2</v>
      </c>
      <c r="D171">
        <v>11.35</v>
      </c>
      <c r="E171">
        <v>21.18</v>
      </c>
      <c r="F171">
        <v>22.37</v>
      </c>
    </row>
    <row r="172" spans="1:6" x14ac:dyDescent="0.2">
      <c r="A172">
        <v>2024</v>
      </c>
      <c r="B172" t="s">
        <v>38</v>
      </c>
      <c r="C172">
        <v>3</v>
      </c>
      <c r="D172">
        <v>1.27</v>
      </c>
      <c r="E172">
        <v>20.13</v>
      </c>
      <c r="F172">
        <v>21.66</v>
      </c>
    </row>
    <row r="173" spans="1:6" x14ac:dyDescent="0.2">
      <c r="A173">
        <v>2024</v>
      </c>
      <c r="B173" s="14" t="s">
        <v>39</v>
      </c>
      <c r="C173">
        <v>4</v>
      </c>
      <c r="D173">
        <v>3.26</v>
      </c>
      <c r="E173">
        <v>20.77</v>
      </c>
      <c r="F173">
        <v>22.06</v>
      </c>
    </row>
    <row r="174" spans="1:6" x14ac:dyDescent="0.2">
      <c r="A174">
        <v>2024</v>
      </c>
      <c r="B174" t="s">
        <v>40</v>
      </c>
      <c r="C174">
        <v>5</v>
      </c>
      <c r="D174">
        <v>6.38</v>
      </c>
      <c r="E174">
        <v>21.21</v>
      </c>
      <c r="F174">
        <v>23.16</v>
      </c>
    </row>
    <row r="175" spans="1:6" x14ac:dyDescent="0.2">
      <c r="A175">
        <v>2024</v>
      </c>
      <c r="B175" t="s">
        <v>41</v>
      </c>
      <c r="C175">
        <v>6</v>
      </c>
      <c r="D175">
        <v>4.1100000000000003</v>
      </c>
      <c r="E175">
        <v>22.43</v>
      </c>
      <c r="F175">
        <v>23.62</v>
      </c>
    </row>
    <row r="176" spans="1:6" x14ac:dyDescent="0.2">
      <c r="A176">
        <v>2024</v>
      </c>
      <c r="B176" s="14" t="s">
        <v>42</v>
      </c>
      <c r="C176">
        <v>7</v>
      </c>
      <c r="D176">
        <v>0.51</v>
      </c>
      <c r="E176">
        <v>23.4</v>
      </c>
      <c r="F176">
        <v>25.16</v>
      </c>
    </row>
    <row r="177" spans="1:6" x14ac:dyDescent="0.2">
      <c r="A177">
        <v>2024</v>
      </c>
      <c r="B177" t="s">
        <v>43</v>
      </c>
      <c r="C177">
        <v>8</v>
      </c>
      <c r="D177">
        <v>0.5</v>
      </c>
      <c r="E177">
        <v>24.36</v>
      </c>
      <c r="F177">
        <v>25.14</v>
      </c>
    </row>
    <row r="178" spans="1:6" x14ac:dyDescent="0.2">
      <c r="A178">
        <v>2024</v>
      </c>
      <c r="B178" t="s">
        <v>44</v>
      </c>
      <c r="C178">
        <v>9</v>
      </c>
      <c r="D178">
        <v>11.15</v>
      </c>
      <c r="E178">
        <v>23.88</v>
      </c>
      <c r="F178">
        <v>24.99</v>
      </c>
    </row>
    <row r="179" spans="1:6" x14ac:dyDescent="0.2">
      <c r="A179">
        <v>2024</v>
      </c>
      <c r="B179" t="s">
        <v>45</v>
      </c>
      <c r="C179">
        <v>10</v>
      </c>
      <c r="D179">
        <v>9.82</v>
      </c>
      <c r="E179">
        <v>23.82</v>
      </c>
      <c r="F179">
        <v>24.99</v>
      </c>
    </row>
    <row r="180" spans="1:6" x14ac:dyDescent="0.2">
      <c r="A180">
        <v>2024</v>
      </c>
      <c r="B180" t="s">
        <v>46</v>
      </c>
      <c r="C180">
        <v>11</v>
      </c>
      <c r="D180">
        <v>28.97</v>
      </c>
      <c r="E180">
        <v>22.55</v>
      </c>
      <c r="F180">
        <v>24.18</v>
      </c>
    </row>
    <row r="181" spans="1:6" x14ac:dyDescent="0.2">
      <c r="A181">
        <v>2024</v>
      </c>
      <c r="B181" t="s">
        <v>47</v>
      </c>
      <c r="C181">
        <v>12</v>
      </c>
      <c r="D181">
        <v>25.42</v>
      </c>
      <c r="E181">
        <v>21.67</v>
      </c>
      <c r="F181">
        <v>23.54</v>
      </c>
    </row>
  </sheetData>
  <sortState xmlns:xlrd2="http://schemas.microsoft.com/office/spreadsheetml/2017/richdata2" ref="A2:F181">
    <sortCondition ref="A2:A181"/>
    <sortCondition ref="C2:C181"/>
  </sortState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A33A-B759-5D49-9BEB-3AD65C8D5E4E}">
  <dimension ref="A1:F16"/>
  <sheetViews>
    <sheetView workbookViewId="0">
      <selection activeCell="C2" sqref="C2:E16"/>
    </sheetView>
  </sheetViews>
  <sheetFormatPr baseColWidth="10" defaultRowHeight="16" x14ac:dyDescent="0.2"/>
  <cols>
    <col min="3" max="3" width="11.1640625" bestFit="1" customWidth="1"/>
  </cols>
  <sheetData>
    <row r="1" spans="1:6" x14ac:dyDescent="0.2">
      <c r="A1" t="s">
        <v>32</v>
      </c>
      <c r="B1" t="s">
        <v>33</v>
      </c>
      <c r="C1" t="s">
        <v>48</v>
      </c>
      <c r="D1" t="s">
        <v>34</v>
      </c>
      <c r="E1" t="s">
        <v>35</v>
      </c>
      <c r="F1" t="s">
        <v>55</v>
      </c>
    </row>
    <row r="2" spans="1:6" x14ac:dyDescent="0.2">
      <c r="A2">
        <v>2010</v>
      </c>
      <c r="B2" t="s">
        <v>46</v>
      </c>
      <c r="C2">
        <f>Working!M2</f>
        <v>70.53</v>
      </c>
      <c r="D2">
        <f>Working!M17</f>
        <v>22.4</v>
      </c>
      <c r="E2">
        <f>Working!M32</f>
        <v>23.59</v>
      </c>
      <c r="F2">
        <v>11</v>
      </c>
    </row>
    <row r="3" spans="1:6" x14ac:dyDescent="0.2">
      <c r="A3">
        <v>2011</v>
      </c>
      <c r="B3" t="s">
        <v>46</v>
      </c>
      <c r="C3">
        <f>Working!M3</f>
        <v>36.21</v>
      </c>
      <c r="D3">
        <f>Working!M18</f>
        <v>21.99</v>
      </c>
      <c r="E3">
        <f>Working!M33</f>
        <v>23.76</v>
      </c>
      <c r="F3">
        <v>11</v>
      </c>
    </row>
    <row r="4" spans="1:6" x14ac:dyDescent="0.2">
      <c r="A4">
        <v>2012</v>
      </c>
      <c r="B4" t="s">
        <v>46</v>
      </c>
      <c r="C4">
        <f>Working!M4</f>
        <v>48.39</v>
      </c>
      <c r="D4">
        <f>Working!M19</f>
        <v>22.21</v>
      </c>
      <c r="E4">
        <f>Working!M34</f>
        <v>24.84</v>
      </c>
      <c r="F4">
        <v>11</v>
      </c>
    </row>
    <row r="5" spans="1:6" x14ac:dyDescent="0.2">
      <c r="A5">
        <v>2013</v>
      </c>
      <c r="B5" t="s">
        <v>46</v>
      </c>
      <c r="C5">
        <f>Working!M5</f>
        <v>53.52</v>
      </c>
      <c r="D5">
        <f>Working!M20</f>
        <v>22.02</v>
      </c>
      <c r="E5">
        <f>Working!M35</f>
        <v>23.26</v>
      </c>
      <c r="F5">
        <v>11</v>
      </c>
    </row>
    <row r="6" spans="1:6" x14ac:dyDescent="0.2">
      <c r="A6">
        <v>2014</v>
      </c>
      <c r="B6" t="s">
        <v>46</v>
      </c>
      <c r="C6">
        <f>Working!M6</f>
        <v>18.66</v>
      </c>
      <c r="D6">
        <f>Working!M21</f>
        <v>21.89</v>
      </c>
      <c r="E6">
        <f>Working!M36</f>
        <v>23.37</v>
      </c>
      <c r="F6">
        <v>11</v>
      </c>
    </row>
    <row r="7" spans="1:6" x14ac:dyDescent="0.2">
      <c r="A7">
        <v>2015</v>
      </c>
      <c r="B7" t="s">
        <v>46</v>
      </c>
      <c r="C7">
        <f>Working!M7</f>
        <v>16.09</v>
      </c>
      <c r="D7">
        <f>Working!M22</f>
        <v>22.43</v>
      </c>
      <c r="E7">
        <f>Working!M37</f>
        <v>23.76</v>
      </c>
      <c r="F7">
        <v>11</v>
      </c>
    </row>
    <row r="8" spans="1:6" x14ac:dyDescent="0.2">
      <c r="A8">
        <v>2016</v>
      </c>
      <c r="B8" t="s">
        <v>46</v>
      </c>
      <c r="C8">
        <f>Working!M8</f>
        <v>31.52</v>
      </c>
      <c r="D8">
        <f>Working!M23</f>
        <v>21.63</v>
      </c>
      <c r="E8">
        <f>Working!M38</f>
        <v>23.13</v>
      </c>
      <c r="F8">
        <v>11</v>
      </c>
    </row>
    <row r="9" spans="1:6" x14ac:dyDescent="0.2">
      <c r="A9">
        <v>2017</v>
      </c>
      <c r="B9" t="s">
        <v>46</v>
      </c>
      <c r="C9">
        <f>Working!M9</f>
        <v>35.549999999999997</v>
      </c>
      <c r="D9">
        <f>Working!M24</f>
        <v>22.45</v>
      </c>
      <c r="E9">
        <f>Working!M39</f>
        <v>23.76</v>
      </c>
      <c r="F9">
        <v>11</v>
      </c>
    </row>
    <row r="10" spans="1:6" x14ac:dyDescent="0.2">
      <c r="A10">
        <v>2018</v>
      </c>
      <c r="B10" t="s">
        <v>46</v>
      </c>
      <c r="C10">
        <f>Working!M10</f>
        <v>15.36</v>
      </c>
      <c r="D10">
        <f>Working!M25</f>
        <v>21.48</v>
      </c>
      <c r="E10">
        <f>Working!M40</f>
        <v>23.37</v>
      </c>
      <c r="F10">
        <v>11</v>
      </c>
    </row>
    <row r="11" spans="1:6" x14ac:dyDescent="0.2">
      <c r="A11">
        <v>2019</v>
      </c>
      <c r="B11" t="s">
        <v>46</v>
      </c>
      <c r="C11">
        <f>Working!M11</f>
        <v>11.73</v>
      </c>
      <c r="D11">
        <f>Working!M26</f>
        <v>22.32</v>
      </c>
      <c r="E11">
        <f>Working!M41</f>
        <v>23.97</v>
      </c>
      <c r="F11">
        <v>11</v>
      </c>
    </row>
    <row r="12" spans="1:6" x14ac:dyDescent="0.2">
      <c r="A12">
        <v>2020</v>
      </c>
      <c r="B12" t="s">
        <v>46</v>
      </c>
      <c r="C12">
        <f>Working!M12</f>
        <v>23.44</v>
      </c>
      <c r="D12">
        <f>Working!M27</f>
        <v>22.13</v>
      </c>
      <c r="E12">
        <f>Working!M42</f>
        <v>23.85</v>
      </c>
      <c r="F12">
        <v>11</v>
      </c>
    </row>
    <row r="13" spans="1:6" x14ac:dyDescent="0.2">
      <c r="A13">
        <v>2021</v>
      </c>
      <c r="B13" t="s">
        <v>46</v>
      </c>
      <c r="C13">
        <f>Working!M13</f>
        <v>59.1</v>
      </c>
      <c r="D13">
        <f>Working!M28</f>
        <v>22.52</v>
      </c>
      <c r="E13">
        <f>Working!M43</f>
        <v>23.52</v>
      </c>
      <c r="F13">
        <v>11</v>
      </c>
    </row>
    <row r="14" spans="1:6" x14ac:dyDescent="0.2">
      <c r="A14">
        <v>2022</v>
      </c>
      <c r="B14" t="s">
        <v>46</v>
      </c>
      <c r="C14">
        <f>Working!M14</f>
        <v>11.4</v>
      </c>
      <c r="D14">
        <f>Working!M29</f>
        <v>22.69</v>
      </c>
      <c r="E14">
        <f>Working!M44</f>
        <v>24.04</v>
      </c>
      <c r="F14">
        <v>11</v>
      </c>
    </row>
    <row r="15" spans="1:6" x14ac:dyDescent="0.2">
      <c r="A15">
        <v>2023</v>
      </c>
      <c r="B15" t="s">
        <v>46</v>
      </c>
      <c r="C15">
        <f>Working!M15</f>
        <v>14.49</v>
      </c>
      <c r="D15">
        <f>Working!M30</f>
        <v>23.56</v>
      </c>
      <c r="E15">
        <f>Working!M45</f>
        <v>25.16</v>
      </c>
      <c r="F15">
        <v>11</v>
      </c>
    </row>
    <row r="16" spans="1:6" x14ac:dyDescent="0.2">
      <c r="A16">
        <v>2024</v>
      </c>
      <c r="B16" t="s">
        <v>46</v>
      </c>
      <c r="C16">
        <f>Working!M16</f>
        <v>28.97</v>
      </c>
      <c r="D16">
        <f>Working!M31</f>
        <v>22.55</v>
      </c>
      <c r="E16">
        <f>Working!M46</f>
        <v>24.18</v>
      </c>
      <c r="F16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F127-11E1-DE48-AEB7-524F14F2A523}">
  <dimension ref="A1:F16"/>
  <sheetViews>
    <sheetView workbookViewId="0">
      <selection activeCell="C2" sqref="C2:E16"/>
    </sheetView>
  </sheetViews>
  <sheetFormatPr baseColWidth="10" defaultRowHeight="16" x14ac:dyDescent="0.2"/>
  <cols>
    <col min="3" max="3" width="11.1640625" bestFit="1" customWidth="1"/>
  </cols>
  <sheetData>
    <row r="1" spans="1:6" x14ac:dyDescent="0.2">
      <c r="A1" t="s">
        <v>32</v>
      </c>
      <c r="B1" t="s">
        <v>33</v>
      </c>
      <c r="C1" t="s">
        <v>48</v>
      </c>
      <c r="D1" t="s">
        <v>34</v>
      </c>
      <c r="E1" t="s">
        <v>35</v>
      </c>
      <c r="F1" t="s">
        <v>55</v>
      </c>
    </row>
    <row r="2" spans="1:6" x14ac:dyDescent="0.2">
      <c r="A2">
        <v>2010</v>
      </c>
      <c r="B2" t="s">
        <v>45</v>
      </c>
      <c r="C2">
        <f>Working!L2</f>
        <v>3.88</v>
      </c>
      <c r="D2">
        <f>Working!L17</f>
        <v>23.47</v>
      </c>
      <c r="E2">
        <f>Working!L32</f>
        <v>24.89</v>
      </c>
      <c r="F2">
        <v>10</v>
      </c>
    </row>
    <row r="3" spans="1:6" x14ac:dyDescent="0.2">
      <c r="A3">
        <v>2011</v>
      </c>
      <c r="B3" t="s">
        <v>45</v>
      </c>
      <c r="C3">
        <f>Working!L3</f>
        <v>48.8</v>
      </c>
      <c r="D3">
        <f>Working!L18</f>
        <v>23.55</v>
      </c>
      <c r="E3">
        <f>Working!K33</f>
        <v>24.79</v>
      </c>
      <c r="F3">
        <v>10</v>
      </c>
    </row>
    <row r="4" spans="1:6" x14ac:dyDescent="0.2">
      <c r="A4">
        <v>2012</v>
      </c>
      <c r="B4" t="s">
        <v>45</v>
      </c>
      <c r="C4">
        <f>Working!L4</f>
        <v>65.17</v>
      </c>
      <c r="D4">
        <f>Working!L19</f>
        <v>23.99</v>
      </c>
      <c r="E4">
        <f>Working!K34</f>
        <v>26.15</v>
      </c>
      <c r="F4">
        <v>10</v>
      </c>
    </row>
    <row r="5" spans="1:6" x14ac:dyDescent="0.2">
      <c r="A5">
        <v>2013</v>
      </c>
      <c r="B5" t="s">
        <v>45</v>
      </c>
      <c r="C5">
        <f>Working!L5</f>
        <v>9.98</v>
      </c>
      <c r="D5">
        <f>Working!L20</f>
        <v>23.25</v>
      </c>
      <c r="E5">
        <f>Working!K35</f>
        <v>25.25</v>
      </c>
      <c r="F5">
        <v>10</v>
      </c>
    </row>
    <row r="6" spans="1:6" x14ac:dyDescent="0.2">
      <c r="A6">
        <v>2014</v>
      </c>
      <c r="B6" t="s">
        <v>45</v>
      </c>
      <c r="C6">
        <f>Working!L6</f>
        <v>15.06</v>
      </c>
      <c r="D6">
        <f>Working!L21</f>
        <v>23.48</v>
      </c>
      <c r="E6">
        <f>Working!K36</f>
        <v>25.8</v>
      </c>
      <c r="F6">
        <v>10</v>
      </c>
    </row>
    <row r="7" spans="1:6" x14ac:dyDescent="0.2">
      <c r="A7">
        <v>2015</v>
      </c>
      <c r="B7" t="s">
        <v>45</v>
      </c>
      <c r="C7">
        <f>Working!L7</f>
        <v>27.99</v>
      </c>
      <c r="D7">
        <f>Working!L22</f>
        <v>23.63</v>
      </c>
      <c r="E7">
        <f>Working!K37</f>
        <v>26.33</v>
      </c>
      <c r="F7">
        <v>10</v>
      </c>
    </row>
    <row r="8" spans="1:6" x14ac:dyDescent="0.2">
      <c r="A8">
        <v>2016</v>
      </c>
      <c r="B8" t="s">
        <v>45</v>
      </c>
      <c r="C8">
        <f>Working!L8</f>
        <v>21.45</v>
      </c>
      <c r="D8">
        <f>Working!L23</f>
        <v>23.21</v>
      </c>
      <c r="E8">
        <f>Working!K38</f>
        <v>24.45</v>
      </c>
      <c r="F8">
        <v>10</v>
      </c>
    </row>
    <row r="9" spans="1:6" x14ac:dyDescent="0.2">
      <c r="A9">
        <v>2017</v>
      </c>
      <c r="B9" t="s">
        <v>45</v>
      </c>
      <c r="C9">
        <f>Working!L9</f>
        <v>17.32</v>
      </c>
      <c r="D9">
        <f>Working!L24</f>
        <v>23.26</v>
      </c>
      <c r="E9">
        <f>Working!K39</f>
        <v>24.21</v>
      </c>
      <c r="F9">
        <v>10</v>
      </c>
    </row>
    <row r="10" spans="1:6" x14ac:dyDescent="0.2">
      <c r="A10">
        <v>2018</v>
      </c>
      <c r="B10" t="s">
        <v>45</v>
      </c>
      <c r="C10">
        <f>Working!L10</f>
        <v>44.44</v>
      </c>
      <c r="D10">
        <f>Working!L25</f>
        <v>23.31</v>
      </c>
      <c r="E10">
        <f>Working!K40</f>
        <v>24.77</v>
      </c>
      <c r="F10">
        <v>10</v>
      </c>
    </row>
    <row r="11" spans="1:6" x14ac:dyDescent="0.2">
      <c r="A11">
        <v>2019</v>
      </c>
      <c r="B11" t="s">
        <v>45</v>
      </c>
      <c r="C11">
        <f>Working!L11</f>
        <v>4.9000000000000004</v>
      </c>
      <c r="D11">
        <f>Working!L26</f>
        <v>23.33</v>
      </c>
      <c r="E11">
        <f>Working!K41</f>
        <v>24.94</v>
      </c>
      <c r="F11">
        <v>10</v>
      </c>
    </row>
    <row r="12" spans="1:6" x14ac:dyDescent="0.2">
      <c r="A12">
        <v>2020</v>
      </c>
      <c r="B12" t="s">
        <v>45</v>
      </c>
      <c r="C12">
        <f>Working!L12</f>
        <v>15.18</v>
      </c>
      <c r="D12">
        <f>Working!L27</f>
        <v>23.39</v>
      </c>
      <c r="E12">
        <f>Working!K42</f>
        <v>24.81</v>
      </c>
      <c r="F12">
        <v>10</v>
      </c>
    </row>
    <row r="13" spans="1:6" x14ac:dyDescent="0.2">
      <c r="A13">
        <v>2021</v>
      </c>
      <c r="B13" t="s">
        <v>45</v>
      </c>
      <c r="C13">
        <f>Working!L13</f>
        <v>0.85</v>
      </c>
      <c r="D13">
        <f>Working!L28</f>
        <v>23.26</v>
      </c>
      <c r="E13">
        <f>Working!K43</f>
        <v>25.69</v>
      </c>
      <c r="F13">
        <v>10</v>
      </c>
    </row>
    <row r="14" spans="1:6" x14ac:dyDescent="0.2">
      <c r="A14">
        <v>2022</v>
      </c>
      <c r="B14" t="s">
        <v>45</v>
      </c>
      <c r="C14">
        <f>Working!L14</f>
        <v>7.57</v>
      </c>
      <c r="D14">
        <f>Working!L29</f>
        <v>23.42</v>
      </c>
      <c r="E14">
        <f>Working!K44</f>
        <v>25.46</v>
      </c>
      <c r="F14">
        <v>10</v>
      </c>
    </row>
    <row r="15" spans="1:6" x14ac:dyDescent="0.2">
      <c r="A15">
        <v>2023</v>
      </c>
      <c r="B15" t="s">
        <v>45</v>
      </c>
      <c r="C15">
        <f>Working!L15</f>
        <v>10.17</v>
      </c>
      <c r="D15">
        <f>Working!L30</f>
        <v>25.35</v>
      </c>
      <c r="E15">
        <f>Working!K45</f>
        <v>25.87</v>
      </c>
      <c r="F15">
        <v>10</v>
      </c>
    </row>
    <row r="16" spans="1:6" x14ac:dyDescent="0.2">
      <c r="A16">
        <v>2024</v>
      </c>
      <c r="B16" t="s">
        <v>45</v>
      </c>
      <c r="C16">
        <f>Working!L16</f>
        <v>9.82</v>
      </c>
      <c r="D16">
        <f>Working!L31</f>
        <v>23.82</v>
      </c>
      <c r="E16">
        <f>Working!K46</f>
        <v>24.99</v>
      </c>
      <c r="F16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123C-6B86-764E-8859-3971470B1D92}">
  <dimension ref="A1:F16"/>
  <sheetViews>
    <sheetView workbookViewId="0">
      <selection activeCell="A17" sqref="A17"/>
    </sheetView>
  </sheetViews>
  <sheetFormatPr baseColWidth="10" defaultRowHeight="16" x14ac:dyDescent="0.2"/>
  <cols>
    <col min="3" max="3" width="11.1640625" bestFit="1" customWidth="1"/>
  </cols>
  <sheetData>
    <row r="1" spans="1:6" x14ac:dyDescent="0.2">
      <c r="A1" t="s">
        <v>32</v>
      </c>
      <c r="B1" t="s">
        <v>33</v>
      </c>
      <c r="C1" t="s">
        <v>48</v>
      </c>
      <c r="D1" t="s">
        <v>34</v>
      </c>
      <c r="E1" t="s">
        <v>35</v>
      </c>
      <c r="F1" t="s">
        <v>55</v>
      </c>
    </row>
    <row r="2" spans="1:6" x14ac:dyDescent="0.2">
      <c r="A2">
        <v>2010</v>
      </c>
      <c r="B2" t="s">
        <v>44</v>
      </c>
      <c r="C2">
        <f>Working!K2</f>
        <v>48.86</v>
      </c>
      <c r="D2">
        <f>Working!K17</f>
        <v>23.7</v>
      </c>
      <c r="E2">
        <f>Working!K32</f>
        <v>24.48</v>
      </c>
      <c r="F2">
        <v>9</v>
      </c>
    </row>
    <row r="3" spans="1:6" x14ac:dyDescent="0.2">
      <c r="A3">
        <v>2011</v>
      </c>
      <c r="B3" t="s">
        <v>44</v>
      </c>
      <c r="C3">
        <f>Working!K3</f>
        <v>14.52</v>
      </c>
      <c r="D3">
        <f>Working!K18</f>
        <v>23.91</v>
      </c>
      <c r="E3">
        <f>Working!K33</f>
        <v>24.79</v>
      </c>
      <c r="F3">
        <v>9</v>
      </c>
    </row>
    <row r="4" spans="1:6" x14ac:dyDescent="0.2">
      <c r="A4">
        <v>2012</v>
      </c>
      <c r="B4" t="s">
        <v>44</v>
      </c>
      <c r="C4">
        <f>Working!K4</f>
        <v>2.29</v>
      </c>
      <c r="D4">
        <f>Working!K19</f>
        <v>24.82</v>
      </c>
      <c r="E4">
        <f>Working!K34</f>
        <v>26.15</v>
      </c>
      <c r="F4">
        <v>9</v>
      </c>
    </row>
    <row r="5" spans="1:6" x14ac:dyDescent="0.2">
      <c r="A5">
        <v>2013</v>
      </c>
      <c r="B5" t="s">
        <v>44</v>
      </c>
      <c r="C5">
        <f>Working!K5</f>
        <v>11.7</v>
      </c>
      <c r="D5">
        <f>Working!K20</f>
        <v>23.49</v>
      </c>
      <c r="E5">
        <f>Working!K35</f>
        <v>25.25</v>
      </c>
      <c r="F5">
        <v>9</v>
      </c>
    </row>
    <row r="6" spans="1:6" x14ac:dyDescent="0.2">
      <c r="A6">
        <v>2014</v>
      </c>
      <c r="B6" t="s">
        <v>44</v>
      </c>
      <c r="C6">
        <f>Working!K6</f>
        <v>16.95</v>
      </c>
      <c r="D6">
        <f>Working!K21</f>
        <v>24.45</v>
      </c>
      <c r="E6">
        <f>Working!K36</f>
        <v>25.8</v>
      </c>
      <c r="F6">
        <v>9</v>
      </c>
    </row>
    <row r="7" spans="1:6" x14ac:dyDescent="0.2">
      <c r="A7">
        <v>2015</v>
      </c>
      <c r="B7" t="s">
        <v>44</v>
      </c>
      <c r="C7">
        <f>Working!K7</f>
        <v>8.11</v>
      </c>
      <c r="D7">
        <f>Working!K22</f>
        <v>24.7</v>
      </c>
      <c r="E7">
        <f>Working!K37</f>
        <v>26.33</v>
      </c>
      <c r="F7">
        <v>9</v>
      </c>
    </row>
    <row r="8" spans="1:6" x14ac:dyDescent="0.2">
      <c r="A8">
        <v>2016</v>
      </c>
      <c r="B8" t="s">
        <v>44</v>
      </c>
      <c r="C8">
        <f>Working!K8</f>
        <v>3.42</v>
      </c>
      <c r="D8">
        <f>Working!K23</f>
        <v>23.77</v>
      </c>
      <c r="E8">
        <f>Working!K38</f>
        <v>24.45</v>
      </c>
      <c r="F8">
        <v>9</v>
      </c>
    </row>
    <row r="9" spans="1:6" x14ac:dyDescent="0.2">
      <c r="A9">
        <v>2017</v>
      </c>
      <c r="B9" t="s">
        <v>44</v>
      </c>
      <c r="C9">
        <f>Working!K9</f>
        <v>9.1199999999999992</v>
      </c>
      <c r="D9">
        <f>Working!K24</f>
        <v>23.63</v>
      </c>
      <c r="E9">
        <f>Working!K39</f>
        <v>24.21</v>
      </c>
      <c r="F9">
        <v>9</v>
      </c>
    </row>
    <row r="10" spans="1:6" x14ac:dyDescent="0.2">
      <c r="A10">
        <v>2018</v>
      </c>
      <c r="B10" t="s">
        <v>44</v>
      </c>
      <c r="C10">
        <f>Working!K10</f>
        <v>3.86</v>
      </c>
      <c r="D10">
        <f>Working!K25</f>
        <v>23.68</v>
      </c>
      <c r="E10">
        <f>Working!K40</f>
        <v>24.77</v>
      </c>
      <c r="F10">
        <v>9</v>
      </c>
    </row>
    <row r="11" spans="1:6" x14ac:dyDescent="0.2">
      <c r="A11">
        <v>2019</v>
      </c>
      <c r="B11" t="s">
        <v>44</v>
      </c>
      <c r="C11">
        <f>Working!K11</f>
        <v>9.5</v>
      </c>
      <c r="D11">
        <f>Working!K26</f>
        <v>23.7</v>
      </c>
      <c r="E11">
        <f>Working!K41</f>
        <v>24.94</v>
      </c>
      <c r="F11">
        <v>9</v>
      </c>
    </row>
    <row r="12" spans="1:6" x14ac:dyDescent="0.2">
      <c r="A12">
        <v>2020</v>
      </c>
      <c r="B12" t="s">
        <v>44</v>
      </c>
      <c r="C12">
        <f>Working!K12</f>
        <v>23.32</v>
      </c>
      <c r="D12">
        <f>Working!K27</f>
        <v>23.8</v>
      </c>
      <c r="E12">
        <f>Working!K42</f>
        <v>24.81</v>
      </c>
      <c r="F12">
        <v>9</v>
      </c>
    </row>
    <row r="13" spans="1:6" x14ac:dyDescent="0.2">
      <c r="A13">
        <v>2021</v>
      </c>
      <c r="B13" t="s">
        <v>44</v>
      </c>
      <c r="C13">
        <f>Working!K13</f>
        <v>9.4600000000000009</v>
      </c>
      <c r="D13">
        <f>Working!K28</f>
        <v>24.5</v>
      </c>
      <c r="E13">
        <f>Working!K43</f>
        <v>25.69</v>
      </c>
      <c r="F13">
        <v>9</v>
      </c>
    </row>
    <row r="14" spans="1:6" x14ac:dyDescent="0.2">
      <c r="A14">
        <v>2022</v>
      </c>
      <c r="B14" t="s">
        <v>44</v>
      </c>
      <c r="C14">
        <f>Working!K14</f>
        <v>22.4</v>
      </c>
      <c r="D14">
        <f>Working!K29</f>
        <v>24.23</v>
      </c>
      <c r="E14">
        <f>Working!K44</f>
        <v>25.46</v>
      </c>
      <c r="F14">
        <v>9</v>
      </c>
    </row>
    <row r="15" spans="1:6" x14ac:dyDescent="0.2">
      <c r="A15">
        <v>2023</v>
      </c>
      <c r="B15" t="s">
        <v>44</v>
      </c>
      <c r="C15">
        <f>Working!K15</f>
        <v>3.4</v>
      </c>
      <c r="D15">
        <f>Working!K30</f>
        <v>24.78</v>
      </c>
      <c r="E15">
        <f>Working!K45</f>
        <v>25.87</v>
      </c>
      <c r="F15">
        <v>9</v>
      </c>
    </row>
    <row r="16" spans="1:6" x14ac:dyDescent="0.2">
      <c r="A16">
        <v>2024</v>
      </c>
      <c r="B16" t="s">
        <v>44</v>
      </c>
      <c r="C16">
        <f>Working!K16</f>
        <v>11.15</v>
      </c>
      <c r="D16">
        <f>Working!K31</f>
        <v>23.88</v>
      </c>
      <c r="E16">
        <f>Working!K46</f>
        <v>24.99</v>
      </c>
      <c r="F16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DE8C-C1E0-C24A-B708-362EC539E912}">
  <dimension ref="A1:F16"/>
  <sheetViews>
    <sheetView workbookViewId="0">
      <selection activeCell="C2" sqref="C2:E16"/>
    </sheetView>
  </sheetViews>
  <sheetFormatPr baseColWidth="10" defaultRowHeight="16" x14ac:dyDescent="0.2"/>
  <cols>
    <col min="3" max="3" width="11.1640625" bestFit="1" customWidth="1"/>
  </cols>
  <sheetData>
    <row r="1" spans="1:6" x14ac:dyDescent="0.2">
      <c r="A1" t="s">
        <v>32</v>
      </c>
      <c r="B1" t="s">
        <v>33</v>
      </c>
      <c r="C1" t="s">
        <v>48</v>
      </c>
      <c r="D1" t="s">
        <v>34</v>
      </c>
      <c r="E1" t="s">
        <v>35</v>
      </c>
      <c r="F1" t="s">
        <v>55</v>
      </c>
    </row>
    <row r="2" spans="1:6" x14ac:dyDescent="0.2">
      <c r="A2">
        <v>2010</v>
      </c>
      <c r="B2" t="s">
        <v>43</v>
      </c>
      <c r="C2">
        <f>Working!J2</f>
        <v>2.2200000000000002</v>
      </c>
      <c r="D2">
        <f>Working!J17</f>
        <v>23.21</v>
      </c>
      <c r="E2">
        <f>Working!J32</f>
        <v>24.26</v>
      </c>
      <c r="F2">
        <v>8</v>
      </c>
    </row>
    <row r="3" spans="1:6" x14ac:dyDescent="0.2">
      <c r="A3">
        <v>2011</v>
      </c>
      <c r="B3" t="s">
        <v>43</v>
      </c>
      <c r="C3">
        <f>Working!J3</f>
        <v>9.73</v>
      </c>
      <c r="D3">
        <f>Working!J18</f>
        <v>22.91</v>
      </c>
      <c r="E3">
        <f>Working!J33</f>
        <v>24.02</v>
      </c>
      <c r="F3">
        <v>8</v>
      </c>
    </row>
    <row r="4" spans="1:6" x14ac:dyDescent="0.2">
      <c r="A4">
        <v>2012</v>
      </c>
      <c r="B4" t="s">
        <v>43</v>
      </c>
      <c r="C4">
        <f>Working!J4</f>
        <v>1.54</v>
      </c>
      <c r="D4">
        <f>Working!J19</f>
        <v>23.99</v>
      </c>
      <c r="E4">
        <f>Working!J34</f>
        <v>25.43</v>
      </c>
      <c r="F4">
        <v>8</v>
      </c>
    </row>
    <row r="5" spans="1:6" x14ac:dyDescent="0.2">
      <c r="A5">
        <v>2013</v>
      </c>
      <c r="B5" t="s">
        <v>43</v>
      </c>
      <c r="C5">
        <f>Working!J5</f>
        <v>1.81</v>
      </c>
      <c r="D5">
        <f>Working!J20</f>
        <v>23.26</v>
      </c>
      <c r="E5">
        <f>Working!J35</f>
        <v>24.41</v>
      </c>
      <c r="F5">
        <v>8</v>
      </c>
    </row>
    <row r="6" spans="1:6" x14ac:dyDescent="0.2">
      <c r="A6">
        <v>2014</v>
      </c>
      <c r="B6" t="s">
        <v>43</v>
      </c>
      <c r="C6">
        <f>Working!J6</f>
        <v>1.33</v>
      </c>
      <c r="D6">
        <f>Working!J21</f>
        <v>24</v>
      </c>
      <c r="E6">
        <f>Working!J36</f>
        <v>24.82</v>
      </c>
      <c r="F6">
        <v>8</v>
      </c>
    </row>
    <row r="7" spans="1:6" x14ac:dyDescent="0.2">
      <c r="A7">
        <v>2015</v>
      </c>
      <c r="B7" t="s">
        <v>43</v>
      </c>
      <c r="C7">
        <f>Working!J7</f>
        <v>13.86</v>
      </c>
      <c r="D7">
        <f>Working!J22</f>
        <v>24.12</v>
      </c>
      <c r="E7">
        <f>Working!J37</f>
        <v>25.83</v>
      </c>
      <c r="F7">
        <v>8</v>
      </c>
    </row>
    <row r="8" spans="1:6" x14ac:dyDescent="0.2">
      <c r="A8">
        <v>2016</v>
      </c>
      <c r="B8" t="s">
        <v>43</v>
      </c>
      <c r="C8">
        <f>Working!J8</f>
        <v>2.27</v>
      </c>
      <c r="D8">
        <f>Working!J23</f>
        <v>23.39</v>
      </c>
      <c r="E8">
        <f>Working!J38</f>
        <v>24.4</v>
      </c>
      <c r="F8">
        <v>8</v>
      </c>
    </row>
    <row r="9" spans="1:6" x14ac:dyDescent="0.2">
      <c r="A9">
        <v>2017</v>
      </c>
      <c r="B9" t="s">
        <v>43</v>
      </c>
      <c r="C9">
        <f>Working!J9</f>
        <v>4.5199999999999996</v>
      </c>
      <c r="D9">
        <f>Working!J24</f>
        <v>23.47</v>
      </c>
      <c r="E9">
        <f>Working!J39</f>
        <v>24.47</v>
      </c>
      <c r="F9">
        <v>8</v>
      </c>
    </row>
    <row r="10" spans="1:6" x14ac:dyDescent="0.2">
      <c r="A10">
        <v>2018</v>
      </c>
      <c r="B10" t="s">
        <v>43</v>
      </c>
      <c r="C10">
        <f>Working!J10</f>
        <v>1.36</v>
      </c>
      <c r="D10">
        <f>Working!J25</f>
        <v>23.46</v>
      </c>
      <c r="E10">
        <f>Working!J40</f>
        <v>24.17</v>
      </c>
      <c r="F10">
        <v>8</v>
      </c>
    </row>
    <row r="11" spans="1:6" x14ac:dyDescent="0.2">
      <c r="A11">
        <v>2019</v>
      </c>
      <c r="B11" t="s">
        <v>43</v>
      </c>
      <c r="C11">
        <f>Working!J11</f>
        <v>1.03</v>
      </c>
      <c r="D11">
        <f>Working!J26</f>
        <v>24.12</v>
      </c>
      <c r="E11">
        <f>Working!J41</f>
        <v>25.34</v>
      </c>
      <c r="F11">
        <v>8</v>
      </c>
    </row>
    <row r="12" spans="1:6" x14ac:dyDescent="0.2">
      <c r="A12">
        <v>2020</v>
      </c>
      <c r="B12" t="s">
        <v>43</v>
      </c>
      <c r="C12">
        <f>Working!J12</f>
        <v>0.67</v>
      </c>
      <c r="D12">
        <f>Working!J27</f>
        <v>23.58</v>
      </c>
      <c r="E12">
        <f>Working!J42</f>
        <v>24.44</v>
      </c>
      <c r="F12">
        <v>8</v>
      </c>
    </row>
    <row r="13" spans="1:6" x14ac:dyDescent="0.2">
      <c r="A13">
        <v>2021</v>
      </c>
      <c r="B13" t="s">
        <v>43</v>
      </c>
      <c r="C13">
        <f>Working!J13</f>
        <v>0.93</v>
      </c>
      <c r="D13">
        <f>Working!J28</f>
        <v>23.64</v>
      </c>
      <c r="E13">
        <f>Working!J43</f>
        <v>25.25</v>
      </c>
      <c r="F13">
        <v>8</v>
      </c>
    </row>
    <row r="14" spans="1:6" x14ac:dyDescent="0.2">
      <c r="A14">
        <v>2022</v>
      </c>
      <c r="B14" t="s">
        <v>43</v>
      </c>
      <c r="C14">
        <f>Working!J14</f>
        <v>4.21</v>
      </c>
      <c r="D14">
        <f>Working!J29</f>
        <v>23.02</v>
      </c>
      <c r="E14">
        <f>Working!J44</f>
        <v>23.84</v>
      </c>
      <c r="F14">
        <v>8</v>
      </c>
    </row>
    <row r="15" spans="1:6" x14ac:dyDescent="0.2">
      <c r="A15">
        <v>2023</v>
      </c>
      <c r="B15" t="s">
        <v>43</v>
      </c>
      <c r="C15">
        <f>Working!J15</f>
        <v>6.01</v>
      </c>
      <c r="D15">
        <f>Working!J30</f>
        <v>24.9</v>
      </c>
      <c r="E15">
        <f>Working!J45</f>
        <v>25.87</v>
      </c>
      <c r="F15">
        <v>8</v>
      </c>
    </row>
    <row r="16" spans="1:6" x14ac:dyDescent="0.2">
      <c r="A16">
        <v>2024</v>
      </c>
      <c r="B16" t="s">
        <v>43</v>
      </c>
      <c r="C16">
        <f>Working!J16</f>
        <v>0.5</v>
      </c>
      <c r="D16">
        <f>Working!J31</f>
        <v>24.36</v>
      </c>
      <c r="E16">
        <f>Working!J46</f>
        <v>25.14</v>
      </c>
      <c r="F16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497D-F794-304F-A9EF-172F11D3E8D5}">
  <dimension ref="A1:F16"/>
  <sheetViews>
    <sheetView workbookViewId="0">
      <selection activeCell="C2" sqref="C2:E16"/>
    </sheetView>
  </sheetViews>
  <sheetFormatPr baseColWidth="10" defaultRowHeight="16" x14ac:dyDescent="0.2"/>
  <cols>
    <col min="3" max="3" width="11.1640625" bestFit="1" customWidth="1"/>
  </cols>
  <sheetData>
    <row r="1" spans="1:6" x14ac:dyDescent="0.2">
      <c r="A1" t="s">
        <v>32</v>
      </c>
      <c r="B1" t="s">
        <v>33</v>
      </c>
      <c r="C1" t="s">
        <v>48</v>
      </c>
      <c r="D1" t="s">
        <v>34</v>
      </c>
      <c r="E1" t="s">
        <v>35</v>
      </c>
      <c r="F1" t="s">
        <v>55</v>
      </c>
    </row>
    <row r="2" spans="1:6" x14ac:dyDescent="0.2">
      <c r="A2">
        <v>2010</v>
      </c>
      <c r="B2" t="s">
        <v>42</v>
      </c>
      <c r="C2">
        <f>Working!I2</f>
        <v>0.78</v>
      </c>
      <c r="D2">
        <f>Working!I17</f>
        <v>22.02</v>
      </c>
      <c r="E2">
        <f>Working!I32</f>
        <v>23.06</v>
      </c>
      <c r="F2">
        <v>7</v>
      </c>
    </row>
    <row r="3" spans="1:6" x14ac:dyDescent="0.2">
      <c r="A3">
        <v>2011</v>
      </c>
      <c r="B3" t="s">
        <v>42</v>
      </c>
      <c r="C3">
        <f>Working!I3</f>
        <v>7.95</v>
      </c>
      <c r="D3">
        <f>Working!I18</f>
        <v>21.77</v>
      </c>
      <c r="E3">
        <f>Working!I33</f>
        <v>22.83</v>
      </c>
      <c r="F3">
        <v>7</v>
      </c>
    </row>
    <row r="4" spans="1:6" x14ac:dyDescent="0.2">
      <c r="A4">
        <v>2012</v>
      </c>
      <c r="B4" t="s">
        <v>42</v>
      </c>
      <c r="C4">
        <f>Working!I4</f>
        <v>0.86</v>
      </c>
      <c r="D4">
        <f>Working!I19</f>
        <v>22.99</v>
      </c>
      <c r="E4">
        <f>Working!I34</f>
        <v>24.44</v>
      </c>
      <c r="F4">
        <v>7</v>
      </c>
    </row>
    <row r="5" spans="1:6" x14ac:dyDescent="0.2">
      <c r="A5">
        <v>2013</v>
      </c>
      <c r="B5" t="s">
        <v>42</v>
      </c>
      <c r="C5">
        <f>Working!I5</f>
        <v>1.57</v>
      </c>
      <c r="D5">
        <f>Working!I20</f>
        <v>22.13</v>
      </c>
      <c r="E5">
        <f>Working!I35</f>
        <v>24.1</v>
      </c>
      <c r="F5">
        <v>7</v>
      </c>
    </row>
    <row r="6" spans="1:6" x14ac:dyDescent="0.2">
      <c r="A6">
        <v>2014</v>
      </c>
      <c r="B6" t="s">
        <v>42</v>
      </c>
      <c r="C6">
        <f>Working!I6</f>
        <v>0.8</v>
      </c>
      <c r="D6">
        <f>Working!I21</f>
        <v>22.68</v>
      </c>
      <c r="E6">
        <f>Working!I36</f>
        <v>24.8</v>
      </c>
      <c r="F6">
        <v>7</v>
      </c>
    </row>
    <row r="7" spans="1:6" x14ac:dyDescent="0.2">
      <c r="A7">
        <v>2015</v>
      </c>
      <c r="B7" t="s">
        <v>42</v>
      </c>
      <c r="C7">
        <f>Working!I7</f>
        <v>1.07</v>
      </c>
      <c r="D7">
        <f>Working!I22</f>
        <v>23.22</v>
      </c>
      <c r="E7">
        <f>Working!I37</f>
        <v>24.68</v>
      </c>
      <c r="F7">
        <v>7</v>
      </c>
    </row>
    <row r="8" spans="1:6" x14ac:dyDescent="0.2">
      <c r="A8">
        <v>2016</v>
      </c>
      <c r="B8" t="s">
        <v>42</v>
      </c>
      <c r="C8">
        <f>Working!I8</f>
        <v>2.93</v>
      </c>
      <c r="D8">
        <f>Working!I23</f>
        <v>22.39</v>
      </c>
      <c r="E8">
        <f>Working!I38</f>
        <v>23.25</v>
      </c>
      <c r="F8">
        <v>7</v>
      </c>
    </row>
    <row r="9" spans="1:6" x14ac:dyDescent="0.2">
      <c r="A9">
        <v>2017</v>
      </c>
      <c r="B9" t="s">
        <v>42</v>
      </c>
      <c r="C9">
        <f>Working!I9</f>
        <v>0.41</v>
      </c>
      <c r="D9">
        <f>Working!I24</f>
        <v>22.71</v>
      </c>
      <c r="E9">
        <f>Working!I39</f>
        <v>23.53</v>
      </c>
      <c r="F9">
        <v>7</v>
      </c>
    </row>
    <row r="10" spans="1:6" x14ac:dyDescent="0.2">
      <c r="A10">
        <v>2018</v>
      </c>
      <c r="B10" t="s">
        <v>42</v>
      </c>
      <c r="C10">
        <f>Working!I10</f>
        <v>0.67</v>
      </c>
      <c r="D10">
        <f>Working!I25</f>
        <v>22.28</v>
      </c>
      <c r="E10">
        <f>Working!I40</f>
        <v>23.67</v>
      </c>
      <c r="F10">
        <v>7</v>
      </c>
    </row>
    <row r="11" spans="1:6" x14ac:dyDescent="0.2">
      <c r="A11">
        <v>2019</v>
      </c>
      <c r="B11" s="14" t="s">
        <v>42</v>
      </c>
      <c r="C11">
        <f>Working!I11</f>
        <v>0.85</v>
      </c>
      <c r="D11">
        <f>Working!I26</f>
        <v>22.83</v>
      </c>
      <c r="E11">
        <f>Working!I41</f>
        <v>24.13</v>
      </c>
      <c r="F11">
        <v>7</v>
      </c>
    </row>
    <row r="12" spans="1:6" x14ac:dyDescent="0.2">
      <c r="A12">
        <v>2020</v>
      </c>
      <c r="B12" s="14" t="s">
        <v>42</v>
      </c>
      <c r="C12">
        <f>Working!I12</f>
        <v>1.58</v>
      </c>
      <c r="D12">
        <f>Working!I27</f>
        <v>22.63</v>
      </c>
      <c r="E12">
        <f>Working!I42</f>
        <v>23.32</v>
      </c>
      <c r="F12">
        <v>7</v>
      </c>
    </row>
    <row r="13" spans="1:6" x14ac:dyDescent="0.2">
      <c r="A13">
        <v>2021</v>
      </c>
      <c r="B13" t="s">
        <v>42</v>
      </c>
      <c r="C13">
        <f>Working!I13</f>
        <v>1.87</v>
      </c>
      <c r="D13">
        <f>Working!I28</f>
        <v>22.66</v>
      </c>
      <c r="E13">
        <f>Working!I43</f>
        <v>23.66</v>
      </c>
      <c r="F13">
        <v>7</v>
      </c>
    </row>
    <row r="14" spans="1:6" x14ac:dyDescent="0.2">
      <c r="A14">
        <v>2022</v>
      </c>
      <c r="B14" s="14" t="s">
        <v>42</v>
      </c>
      <c r="C14">
        <f>Working!I14</f>
        <v>7.83</v>
      </c>
      <c r="D14">
        <f>Working!I29</f>
        <v>22.12</v>
      </c>
      <c r="E14">
        <f>Working!I44</f>
        <v>23.13</v>
      </c>
      <c r="F14">
        <v>7</v>
      </c>
    </row>
    <row r="15" spans="1:6" x14ac:dyDescent="0.2">
      <c r="A15">
        <v>2023</v>
      </c>
      <c r="B15" s="14" t="s">
        <v>42</v>
      </c>
      <c r="C15">
        <f>Working!I15</f>
        <v>0.33</v>
      </c>
      <c r="D15">
        <f>Working!I30</f>
        <v>23.93</v>
      </c>
      <c r="E15">
        <f>Working!I45</f>
        <v>25.02</v>
      </c>
      <c r="F15">
        <v>7</v>
      </c>
    </row>
    <row r="16" spans="1:6" x14ac:dyDescent="0.2">
      <c r="A16">
        <v>2024</v>
      </c>
      <c r="B16" s="14" t="s">
        <v>42</v>
      </c>
      <c r="C16">
        <f>Working!I16</f>
        <v>0.51</v>
      </c>
      <c r="D16">
        <f>Working!I31</f>
        <v>23.4</v>
      </c>
      <c r="E16">
        <f>Working!I46</f>
        <v>25.16</v>
      </c>
      <c r="F16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11A2-08D5-AC43-A819-2AB5FA93CA4C}">
  <dimension ref="A1:F16"/>
  <sheetViews>
    <sheetView workbookViewId="0">
      <selection activeCell="C2" sqref="C2:E16"/>
    </sheetView>
  </sheetViews>
  <sheetFormatPr baseColWidth="10" defaultRowHeight="16" x14ac:dyDescent="0.2"/>
  <cols>
    <col min="3" max="3" width="11.1640625" bestFit="1" customWidth="1"/>
  </cols>
  <sheetData>
    <row r="1" spans="1:6" x14ac:dyDescent="0.2">
      <c r="A1" t="s">
        <v>32</v>
      </c>
      <c r="B1" t="s">
        <v>33</v>
      </c>
      <c r="C1" t="s">
        <v>48</v>
      </c>
      <c r="D1" t="s">
        <v>34</v>
      </c>
      <c r="E1" t="s">
        <v>35</v>
      </c>
      <c r="F1" t="s">
        <v>55</v>
      </c>
    </row>
    <row r="2" spans="1:6" x14ac:dyDescent="0.2">
      <c r="A2">
        <v>2010</v>
      </c>
      <c r="B2" t="s">
        <v>41</v>
      </c>
      <c r="C2">
        <f>Working!H2</f>
        <v>1.33</v>
      </c>
      <c r="D2">
        <f>Working!H17</f>
        <v>21.13</v>
      </c>
      <c r="E2">
        <f>Working!H32</f>
        <v>21.84</v>
      </c>
      <c r="F2">
        <v>6</v>
      </c>
    </row>
    <row r="3" spans="1:6" x14ac:dyDescent="0.2">
      <c r="A3">
        <v>2011</v>
      </c>
      <c r="B3" t="s">
        <v>41</v>
      </c>
      <c r="C3">
        <f>Working!H3</f>
        <v>2.99</v>
      </c>
      <c r="D3">
        <f>Working!H18</f>
        <v>20.64</v>
      </c>
      <c r="E3">
        <f>Working!H33</f>
        <v>21.74</v>
      </c>
      <c r="F3">
        <v>6</v>
      </c>
    </row>
    <row r="4" spans="1:6" x14ac:dyDescent="0.2">
      <c r="A4">
        <v>2012</v>
      </c>
      <c r="B4" t="s">
        <v>41</v>
      </c>
      <c r="C4">
        <f>Working!H4</f>
        <v>0</v>
      </c>
      <c r="D4">
        <f>Working!H19</f>
        <v>22.71</v>
      </c>
      <c r="E4">
        <f>Working!H34</f>
        <v>24.22</v>
      </c>
      <c r="F4">
        <v>6</v>
      </c>
    </row>
    <row r="5" spans="1:6" x14ac:dyDescent="0.2">
      <c r="A5">
        <v>2013</v>
      </c>
      <c r="B5" t="s">
        <v>41</v>
      </c>
      <c r="C5">
        <f>Working!H5</f>
        <v>2.4</v>
      </c>
      <c r="D5">
        <f>Working!H20</f>
        <v>20.95</v>
      </c>
      <c r="E5">
        <f>Working!H35</f>
        <v>22.11</v>
      </c>
      <c r="F5">
        <v>6</v>
      </c>
    </row>
    <row r="6" spans="1:6" x14ac:dyDescent="0.2">
      <c r="A6">
        <v>2014</v>
      </c>
      <c r="B6" t="s">
        <v>41</v>
      </c>
      <c r="C6">
        <f>Working!H6</f>
        <v>2.61</v>
      </c>
      <c r="D6">
        <f>Working!H21</f>
        <v>21.2</v>
      </c>
      <c r="E6">
        <f>Working!H36</f>
        <v>22.52</v>
      </c>
      <c r="F6">
        <v>6</v>
      </c>
    </row>
    <row r="7" spans="1:6" x14ac:dyDescent="0.2">
      <c r="A7">
        <v>2015</v>
      </c>
      <c r="B7" t="s">
        <v>41</v>
      </c>
      <c r="C7">
        <f>Working!H7</f>
        <v>1.43</v>
      </c>
      <c r="D7">
        <f>Working!H22</f>
        <v>21.12</v>
      </c>
      <c r="E7">
        <f>Working!H37</f>
        <v>23.28</v>
      </c>
      <c r="F7">
        <v>6</v>
      </c>
    </row>
    <row r="8" spans="1:6" x14ac:dyDescent="0.2">
      <c r="A8">
        <v>2016</v>
      </c>
      <c r="B8" t="s">
        <v>41</v>
      </c>
      <c r="C8">
        <f>Working!H8</f>
        <v>1.74</v>
      </c>
      <c r="D8">
        <f>Working!H23</f>
        <v>22.16</v>
      </c>
      <c r="E8">
        <f>Working!H38</f>
        <v>23.69</v>
      </c>
      <c r="F8">
        <v>6</v>
      </c>
    </row>
    <row r="9" spans="1:6" x14ac:dyDescent="0.2">
      <c r="A9">
        <v>2017</v>
      </c>
      <c r="B9" t="s">
        <v>41</v>
      </c>
      <c r="C9">
        <f>Working!H9</f>
        <v>1</v>
      </c>
      <c r="D9">
        <f>Working!H24</f>
        <v>21.95</v>
      </c>
      <c r="E9">
        <f>Working!H39</f>
        <v>22.95</v>
      </c>
      <c r="F9">
        <v>6</v>
      </c>
    </row>
    <row r="10" spans="1:6" x14ac:dyDescent="0.2">
      <c r="A10">
        <v>2018</v>
      </c>
      <c r="B10" t="s">
        <v>41</v>
      </c>
      <c r="C10">
        <f>Working!H10</f>
        <v>2.77</v>
      </c>
      <c r="D10">
        <f>Working!H25</f>
        <v>20.75</v>
      </c>
      <c r="E10">
        <f>Working!H40</f>
        <v>22.84</v>
      </c>
      <c r="F10">
        <v>6</v>
      </c>
    </row>
    <row r="11" spans="1:6" x14ac:dyDescent="0.2">
      <c r="A11">
        <v>2019</v>
      </c>
      <c r="B11" t="s">
        <v>41</v>
      </c>
      <c r="C11">
        <f>Working!H11</f>
        <v>1.18</v>
      </c>
      <c r="D11">
        <f>Working!H26</f>
        <v>21.36</v>
      </c>
      <c r="E11">
        <f>Working!H41</f>
        <v>23.53</v>
      </c>
      <c r="F11">
        <v>6</v>
      </c>
    </row>
    <row r="12" spans="1:6" x14ac:dyDescent="0.2">
      <c r="A12">
        <v>2020</v>
      </c>
      <c r="B12" t="s">
        <v>41</v>
      </c>
      <c r="C12">
        <f>Working!H12</f>
        <v>18.8</v>
      </c>
      <c r="D12">
        <f>Working!H27</f>
        <v>21.82</v>
      </c>
      <c r="E12">
        <f>Working!H42</f>
        <v>23.04</v>
      </c>
      <c r="F12">
        <v>6</v>
      </c>
    </row>
    <row r="13" spans="1:6" x14ac:dyDescent="0.2">
      <c r="A13">
        <v>2021</v>
      </c>
      <c r="B13" t="s">
        <v>41</v>
      </c>
      <c r="C13">
        <f>Working!H13</f>
        <v>11.88</v>
      </c>
      <c r="D13">
        <f>Working!H28</f>
        <v>21.25</v>
      </c>
      <c r="E13">
        <f>Working!H43</f>
        <v>22.41</v>
      </c>
      <c r="F13">
        <v>6</v>
      </c>
    </row>
    <row r="14" spans="1:6" x14ac:dyDescent="0.2">
      <c r="A14">
        <v>2022</v>
      </c>
      <c r="B14" t="s">
        <v>41</v>
      </c>
      <c r="C14">
        <f>Working!H14</f>
        <v>3.51</v>
      </c>
      <c r="D14">
        <f>Working!H29</f>
        <v>21.42</v>
      </c>
      <c r="E14">
        <f>Working!H44</f>
        <v>22.55</v>
      </c>
      <c r="F14">
        <v>6</v>
      </c>
    </row>
    <row r="15" spans="1:6" x14ac:dyDescent="0.2">
      <c r="A15">
        <v>2023</v>
      </c>
      <c r="B15" t="s">
        <v>41</v>
      </c>
      <c r="C15">
        <f>Working!H15</f>
        <v>15.59</v>
      </c>
      <c r="D15">
        <f>Working!H30</f>
        <v>22.98</v>
      </c>
      <c r="E15">
        <f>Working!H45</f>
        <v>24.58</v>
      </c>
      <c r="F15">
        <v>6</v>
      </c>
    </row>
    <row r="16" spans="1:6" x14ac:dyDescent="0.2">
      <c r="A16">
        <v>2024</v>
      </c>
      <c r="B16" t="s">
        <v>41</v>
      </c>
      <c r="C16">
        <f>Working!H16</f>
        <v>4.1100000000000003</v>
      </c>
      <c r="D16">
        <f>Working!H31</f>
        <v>22.43</v>
      </c>
      <c r="E16">
        <f>Working!H46</f>
        <v>23.62</v>
      </c>
      <c r="F16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B3C4-591E-904D-B4C9-6FE99CADC119}">
  <dimension ref="A1:F16"/>
  <sheetViews>
    <sheetView workbookViewId="0">
      <selection activeCell="C2" sqref="C2:E16"/>
    </sheetView>
  </sheetViews>
  <sheetFormatPr baseColWidth="10" defaultRowHeight="16" x14ac:dyDescent="0.2"/>
  <cols>
    <col min="3" max="3" width="11.1640625" bestFit="1" customWidth="1"/>
  </cols>
  <sheetData>
    <row r="1" spans="1:6" x14ac:dyDescent="0.2">
      <c r="A1" t="s">
        <v>32</v>
      </c>
      <c r="B1" t="s">
        <v>33</v>
      </c>
      <c r="C1" t="s">
        <v>48</v>
      </c>
      <c r="D1" t="s">
        <v>34</v>
      </c>
      <c r="E1" t="s">
        <v>35</v>
      </c>
      <c r="F1" t="s">
        <v>55</v>
      </c>
    </row>
    <row r="2" spans="1:6" x14ac:dyDescent="0.2">
      <c r="A2">
        <v>2010</v>
      </c>
      <c r="B2" t="s">
        <v>40</v>
      </c>
      <c r="C2">
        <f>Working!G2</f>
        <v>2.99</v>
      </c>
      <c r="D2">
        <f>Working!G17</f>
        <v>20.18</v>
      </c>
      <c r="E2">
        <f>Working!G32</f>
        <v>21.64</v>
      </c>
      <c r="F2">
        <v>5</v>
      </c>
    </row>
    <row r="3" spans="1:6" x14ac:dyDescent="0.2">
      <c r="A3">
        <v>2011</v>
      </c>
      <c r="B3" t="s">
        <v>40</v>
      </c>
      <c r="C3">
        <f>Working!G3</f>
        <v>2.66</v>
      </c>
      <c r="D3">
        <f>Working!G18</f>
        <v>19.670000000000002</v>
      </c>
      <c r="E3">
        <f>Working!G33</f>
        <v>20.82</v>
      </c>
      <c r="F3">
        <v>5</v>
      </c>
    </row>
    <row r="4" spans="1:6" x14ac:dyDescent="0.2">
      <c r="A4">
        <v>2012</v>
      </c>
      <c r="B4" t="s">
        <v>40</v>
      </c>
      <c r="C4">
        <f>Working!G4</f>
        <v>12.3</v>
      </c>
      <c r="D4">
        <f>Working!G19</f>
        <v>20.420000000000002</v>
      </c>
      <c r="E4">
        <f>Working!G34</f>
        <v>22.14</v>
      </c>
      <c r="F4">
        <v>5</v>
      </c>
    </row>
    <row r="5" spans="1:6" x14ac:dyDescent="0.2">
      <c r="A5">
        <v>2013</v>
      </c>
      <c r="B5" t="s">
        <v>40</v>
      </c>
      <c r="C5">
        <f>Working!G5</f>
        <v>5.54</v>
      </c>
      <c r="D5">
        <f>Working!G20</f>
        <v>20.39</v>
      </c>
      <c r="E5">
        <f>Working!G35</f>
        <v>22.21</v>
      </c>
      <c r="F5">
        <v>5</v>
      </c>
    </row>
    <row r="6" spans="1:6" x14ac:dyDescent="0.2">
      <c r="A6">
        <v>2014</v>
      </c>
      <c r="B6" t="s">
        <v>40</v>
      </c>
      <c r="C6">
        <f>Working!G6</f>
        <v>2.36</v>
      </c>
      <c r="D6">
        <f>Working!G21</f>
        <v>19.920000000000002</v>
      </c>
      <c r="E6">
        <f>Working!G36</f>
        <v>20.96</v>
      </c>
      <c r="F6">
        <v>5</v>
      </c>
    </row>
    <row r="7" spans="1:6" x14ac:dyDescent="0.2">
      <c r="A7">
        <v>2015</v>
      </c>
      <c r="B7" t="s">
        <v>40</v>
      </c>
      <c r="C7">
        <f>Working!G7</f>
        <v>3.96</v>
      </c>
      <c r="D7">
        <f>Working!G22</f>
        <v>20.07</v>
      </c>
      <c r="E7">
        <f>Working!G37</f>
        <v>21.53</v>
      </c>
      <c r="F7">
        <v>5</v>
      </c>
    </row>
    <row r="8" spans="1:6" x14ac:dyDescent="0.2">
      <c r="A8">
        <v>2016</v>
      </c>
      <c r="B8" t="s">
        <v>40</v>
      </c>
      <c r="C8">
        <f>Working!G8</f>
        <v>1.63</v>
      </c>
      <c r="D8">
        <f>Working!G23</f>
        <v>20.12</v>
      </c>
      <c r="E8">
        <f>Working!G38</f>
        <v>21.47</v>
      </c>
      <c r="F8">
        <v>5</v>
      </c>
    </row>
    <row r="9" spans="1:6" x14ac:dyDescent="0.2">
      <c r="A9">
        <v>2017</v>
      </c>
      <c r="B9" t="s">
        <v>40</v>
      </c>
      <c r="C9">
        <f>Working!G9</f>
        <v>6.35</v>
      </c>
      <c r="D9">
        <f>Working!G24</f>
        <v>20.77</v>
      </c>
      <c r="E9">
        <f>Working!G39</f>
        <v>22.29</v>
      </c>
      <c r="F9">
        <v>5</v>
      </c>
    </row>
    <row r="10" spans="1:6" x14ac:dyDescent="0.2">
      <c r="A10">
        <v>2018</v>
      </c>
      <c r="B10" t="s">
        <v>40</v>
      </c>
      <c r="C10">
        <f>Working!G10</f>
        <v>2.78</v>
      </c>
      <c r="D10">
        <f>Working!G25</f>
        <v>19.3</v>
      </c>
      <c r="E10">
        <f>Working!G40</f>
        <v>20.18</v>
      </c>
      <c r="F10">
        <v>5</v>
      </c>
    </row>
    <row r="11" spans="1:6" x14ac:dyDescent="0.2">
      <c r="A11">
        <v>2019</v>
      </c>
      <c r="B11" t="s">
        <v>40</v>
      </c>
      <c r="C11">
        <f>Working!G11</f>
        <v>1.44</v>
      </c>
      <c r="D11">
        <f>Working!G26</f>
        <v>20.34</v>
      </c>
      <c r="E11">
        <f>Working!G41</f>
        <v>21.43</v>
      </c>
      <c r="F11">
        <v>5</v>
      </c>
    </row>
    <row r="12" spans="1:6" x14ac:dyDescent="0.2">
      <c r="A12">
        <v>2020</v>
      </c>
      <c r="B12" t="s">
        <v>40</v>
      </c>
      <c r="C12">
        <f>Working!G12</f>
        <v>1.7</v>
      </c>
      <c r="D12">
        <f>Working!G27</f>
        <v>20.54</v>
      </c>
      <c r="E12">
        <f>Working!G42</f>
        <v>21.74</v>
      </c>
      <c r="F12">
        <v>5</v>
      </c>
    </row>
    <row r="13" spans="1:6" x14ac:dyDescent="0.2">
      <c r="A13">
        <v>2021</v>
      </c>
      <c r="B13" t="s">
        <v>40</v>
      </c>
      <c r="C13">
        <f>Working!G13</f>
        <v>1.32</v>
      </c>
      <c r="D13">
        <f>Working!G28</f>
        <v>20.56</v>
      </c>
      <c r="E13">
        <f>Working!G43</f>
        <v>21.5</v>
      </c>
      <c r="F13">
        <v>5</v>
      </c>
    </row>
    <row r="14" spans="1:6" x14ac:dyDescent="0.2">
      <c r="A14">
        <v>2022</v>
      </c>
      <c r="B14" t="s">
        <v>40</v>
      </c>
      <c r="C14">
        <f>Working!G14</f>
        <v>3.92</v>
      </c>
      <c r="D14">
        <f>Working!G29</f>
        <v>20.47</v>
      </c>
      <c r="E14">
        <f>Working!G44</f>
        <v>21.88</v>
      </c>
      <c r="F14">
        <v>5</v>
      </c>
    </row>
    <row r="15" spans="1:6" x14ac:dyDescent="0.2">
      <c r="A15">
        <v>2023</v>
      </c>
      <c r="B15" t="s">
        <v>40</v>
      </c>
      <c r="C15">
        <f>Working!G15</f>
        <v>0.9</v>
      </c>
      <c r="D15">
        <f>Working!G30</f>
        <v>21.42</v>
      </c>
      <c r="E15">
        <f>Working!G45</f>
        <v>23.49</v>
      </c>
      <c r="F15">
        <v>5</v>
      </c>
    </row>
    <row r="16" spans="1:6" x14ac:dyDescent="0.2">
      <c r="A16">
        <v>2024</v>
      </c>
      <c r="B16" t="s">
        <v>40</v>
      </c>
      <c r="C16">
        <f>Working!G16</f>
        <v>6.38</v>
      </c>
      <c r="D16">
        <f>Working!G31</f>
        <v>21.21</v>
      </c>
      <c r="E16">
        <f>Working!G46</f>
        <v>23.16</v>
      </c>
      <c r="F16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21FC-7373-7B49-8F66-2EFECBF3991D}">
  <dimension ref="A1:F16"/>
  <sheetViews>
    <sheetView workbookViewId="0">
      <selection activeCell="E2" sqref="E2:E16"/>
    </sheetView>
  </sheetViews>
  <sheetFormatPr baseColWidth="10" defaultRowHeight="16" x14ac:dyDescent="0.2"/>
  <cols>
    <col min="3" max="3" width="11.1640625" bestFit="1" customWidth="1"/>
  </cols>
  <sheetData>
    <row r="1" spans="1:6" x14ac:dyDescent="0.2">
      <c r="A1" t="s">
        <v>32</v>
      </c>
      <c r="B1" t="s">
        <v>33</v>
      </c>
      <c r="C1" t="s">
        <v>48</v>
      </c>
      <c r="D1" t="s">
        <v>34</v>
      </c>
      <c r="E1" t="s">
        <v>35</v>
      </c>
      <c r="F1" t="s">
        <v>55</v>
      </c>
    </row>
    <row r="2" spans="1:6" x14ac:dyDescent="0.2">
      <c r="A2">
        <v>2010</v>
      </c>
      <c r="B2" t="s">
        <v>39</v>
      </c>
      <c r="C2">
        <f>Working!F2</f>
        <v>23.36</v>
      </c>
      <c r="D2">
        <f>Working!F17</f>
        <v>20.100000000000001</v>
      </c>
      <c r="E2">
        <f>Working!F32</f>
        <v>21.67</v>
      </c>
      <c r="F2">
        <v>4</v>
      </c>
    </row>
    <row r="3" spans="1:6" x14ac:dyDescent="0.2">
      <c r="A3">
        <v>2011</v>
      </c>
      <c r="B3" s="14" t="s">
        <v>39</v>
      </c>
      <c r="C3">
        <f>Working!F3</f>
        <v>7.79</v>
      </c>
      <c r="D3">
        <f>Working!F18</f>
        <v>18.95</v>
      </c>
      <c r="E3">
        <f>Working!F33</f>
        <v>20.12</v>
      </c>
      <c r="F3">
        <v>4</v>
      </c>
    </row>
    <row r="4" spans="1:6" x14ac:dyDescent="0.2">
      <c r="A4">
        <v>2012</v>
      </c>
      <c r="B4" s="14" t="s">
        <v>39</v>
      </c>
      <c r="C4">
        <f>Working!F4</f>
        <v>7.69</v>
      </c>
      <c r="D4">
        <f>Working!F19</f>
        <v>18.77</v>
      </c>
      <c r="E4">
        <f>Working!F34</f>
        <v>20.16</v>
      </c>
      <c r="F4">
        <v>4</v>
      </c>
    </row>
    <row r="5" spans="1:6" x14ac:dyDescent="0.2">
      <c r="A5">
        <v>2013</v>
      </c>
      <c r="B5" s="14" t="s">
        <v>39</v>
      </c>
      <c r="C5">
        <f>Working!F5</f>
        <v>5.6</v>
      </c>
      <c r="D5">
        <f>Working!F20</f>
        <v>19.899999999999999</v>
      </c>
      <c r="E5">
        <f>Working!F35</f>
        <v>22.04</v>
      </c>
      <c r="F5">
        <v>4</v>
      </c>
    </row>
    <row r="6" spans="1:6" x14ac:dyDescent="0.2">
      <c r="A6">
        <v>2014</v>
      </c>
      <c r="B6" s="14" t="s">
        <v>39</v>
      </c>
      <c r="C6">
        <f>Working!F6</f>
        <v>13.36</v>
      </c>
      <c r="D6">
        <f>Working!F21</f>
        <v>19.23</v>
      </c>
      <c r="E6">
        <f>Working!F36</f>
        <v>20.27</v>
      </c>
      <c r="F6">
        <v>4</v>
      </c>
    </row>
    <row r="7" spans="1:6" x14ac:dyDescent="0.2">
      <c r="A7">
        <v>2015</v>
      </c>
      <c r="B7" s="14" t="s">
        <v>39</v>
      </c>
      <c r="C7">
        <f>Working!F7</f>
        <v>2.54</v>
      </c>
      <c r="D7">
        <f>Working!F22</f>
        <v>18.36</v>
      </c>
      <c r="E7">
        <f>Working!F37</f>
        <v>20.23</v>
      </c>
      <c r="F7">
        <v>4</v>
      </c>
    </row>
    <row r="8" spans="1:6" x14ac:dyDescent="0.2">
      <c r="A8">
        <v>2016</v>
      </c>
      <c r="B8" s="14" t="s">
        <v>39</v>
      </c>
      <c r="C8">
        <f>Working!F8</f>
        <v>5.23</v>
      </c>
      <c r="D8">
        <f>Working!F23</f>
        <v>19.41</v>
      </c>
      <c r="E8">
        <f>Working!F38</f>
        <v>21.39</v>
      </c>
      <c r="F8">
        <v>4</v>
      </c>
    </row>
    <row r="9" spans="1:6" x14ac:dyDescent="0.2">
      <c r="A9">
        <v>2017</v>
      </c>
      <c r="B9" s="14" t="s">
        <v>39</v>
      </c>
      <c r="C9">
        <f>Working!F9</f>
        <v>8</v>
      </c>
      <c r="D9">
        <f>Working!F24</f>
        <v>19.75</v>
      </c>
      <c r="E9">
        <f>Working!F39</f>
        <v>21.62</v>
      </c>
      <c r="F9">
        <v>4</v>
      </c>
    </row>
    <row r="10" spans="1:6" x14ac:dyDescent="0.2">
      <c r="A10">
        <v>2018</v>
      </c>
      <c r="B10" s="14" t="s">
        <v>39</v>
      </c>
      <c r="C10">
        <f>Working!F10</f>
        <v>1.32</v>
      </c>
      <c r="D10">
        <f>Working!F25</f>
        <v>18.920000000000002</v>
      </c>
      <c r="E10">
        <f>Working!F40</f>
        <v>20.21</v>
      </c>
      <c r="F10">
        <v>4</v>
      </c>
    </row>
    <row r="11" spans="1:6" x14ac:dyDescent="0.2">
      <c r="A11">
        <v>2019</v>
      </c>
      <c r="B11" s="14" t="s">
        <v>39</v>
      </c>
      <c r="C11">
        <f>Working!F11</f>
        <v>9.3800000000000008</v>
      </c>
      <c r="D11">
        <f>Working!F26</f>
        <v>19.02</v>
      </c>
      <c r="E11">
        <f>Working!F41</f>
        <v>20.05</v>
      </c>
      <c r="F11">
        <v>4</v>
      </c>
    </row>
    <row r="12" spans="1:6" x14ac:dyDescent="0.2">
      <c r="A12">
        <v>2020</v>
      </c>
      <c r="B12" s="14" t="s">
        <v>39</v>
      </c>
      <c r="C12">
        <f>Working!F12</f>
        <v>4.67</v>
      </c>
      <c r="D12">
        <f>Working!F27</f>
        <v>19.940000000000001</v>
      </c>
      <c r="E12">
        <f>Working!F42</f>
        <v>21.32</v>
      </c>
      <c r="F12">
        <v>4</v>
      </c>
    </row>
    <row r="13" spans="1:6" x14ac:dyDescent="0.2">
      <c r="A13">
        <v>2021</v>
      </c>
      <c r="B13" s="14" t="s">
        <v>39</v>
      </c>
      <c r="C13">
        <f>Working!F13</f>
        <v>8.34</v>
      </c>
      <c r="D13">
        <f>Working!F28</f>
        <v>20.190000000000001</v>
      </c>
      <c r="E13">
        <f>Working!F43</f>
        <v>21.91</v>
      </c>
      <c r="F13">
        <v>4</v>
      </c>
    </row>
    <row r="14" spans="1:6" x14ac:dyDescent="0.2">
      <c r="A14">
        <v>2022</v>
      </c>
      <c r="B14" s="14" t="s">
        <v>39</v>
      </c>
      <c r="C14">
        <f>Working!F14</f>
        <v>6.63</v>
      </c>
      <c r="D14">
        <f>Working!F29</f>
        <v>19.45</v>
      </c>
      <c r="E14">
        <f>Working!F44</f>
        <v>20.69</v>
      </c>
      <c r="F14">
        <v>4</v>
      </c>
    </row>
    <row r="15" spans="1:6" x14ac:dyDescent="0.2">
      <c r="A15">
        <v>2023</v>
      </c>
      <c r="B15" s="14" t="s">
        <v>39</v>
      </c>
      <c r="C15">
        <f>Working!F15</f>
        <v>3.14</v>
      </c>
      <c r="D15">
        <f>Working!F30</f>
        <v>20.77</v>
      </c>
      <c r="E15">
        <f>Working!F45</f>
        <v>22.94</v>
      </c>
      <c r="F15">
        <v>4</v>
      </c>
    </row>
    <row r="16" spans="1:6" x14ac:dyDescent="0.2">
      <c r="A16">
        <v>2024</v>
      </c>
      <c r="B16" s="14" t="s">
        <v>39</v>
      </c>
      <c r="C16">
        <f>Working!F16</f>
        <v>3.26</v>
      </c>
      <c r="D16">
        <f>Working!F31</f>
        <v>20.77</v>
      </c>
      <c r="E16">
        <f>Working!F46</f>
        <v>22.06</v>
      </c>
      <c r="F16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A771-872E-3741-997C-C3D124E95699}">
  <dimension ref="A1:F16"/>
  <sheetViews>
    <sheetView workbookViewId="0">
      <selection activeCell="F2" sqref="F2:F16"/>
    </sheetView>
  </sheetViews>
  <sheetFormatPr baseColWidth="10" defaultRowHeight="16" x14ac:dyDescent="0.2"/>
  <cols>
    <col min="3" max="3" width="11.1640625" bestFit="1" customWidth="1"/>
  </cols>
  <sheetData>
    <row r="1" spans="1:6" x14ac:dyDescent="0.2">
      <c r="A1" t="s">
        <v>32</v>
      </c>
      <c r="B1" t="s">
        <v>33</v>
      </c>
      <c r="C1" t="s">
        <v>48</v>
      </c>
      <c r="D1" t="s">
        <v>34</v>
      </c>
      <c r="E1" t="s">
        <v>35</v>
      </c>
      <c r="F1" t="s">
        <v>55</v>
      </c>
    </row>
    <row r="2" spans="1:6" x14ac:dyDescent="0.2">
      <c r="A2">
        <v>2010</v>
      </c>
      <c r="C2">
        <f>Working!E2</f>
        <v>20.55</v>
      </c>
      <c r="D2">
        <f>Working!E17</f>
        <v>19.75</v>
      </c>
      <c r="E2">
        <f>Working!E32</f>
        <v>21.41</v>
      </c>
      <c r="F2">
        <v>3</v>
      </c>
    </row>
    <row r="3" spans="1:6" x14ac:dyDescent="0.2">
      <c r="A3">
        <v>2011</v>
      </c>
      <c r="C3">
        <f>Working!E3</f>
        <v>6.76</v>
      </c>
      <c r="D3">
        <f>Working!E18</f>
        <v>18.29</v>
      </c>
      <c r="E3">
        <f>Working!E33</f>
        <v>20.07</v>
      </c>
      <c r="F3">
        <v>3</v>
      </c>
    </row>
    <row r="4" spans="1:6" x14ac:dyDescent="0.2">
      <c r="A4">
        <v>2012</v>
      </c>
      <c r="C4">
        <f>Working!E4</f>
        <v>5.8</v>
      </c>
      <c r="D4">
        <f>Working!E19</f>
        <v>18.25</v>
      </c>
      <c r="E4">
        <f>Working!E34</f>
        <v>19.78</v>
      </c>
      <c r="F4">
        <v>3</v>
      </c>
    </row>
    <row r="5" spans="1:6" x14ac:dyDescent="0.2">
      <c r="A5">
        <v>2013</v>
      </c>
      <c r="C5">
        <f>Working!E5</f>
        <v>18.420000000000002</v>
      </c>
      <c r="D5">
        <f>Working!E20</f>
        <v>19.5</v>
      </c>
      <c r="E5">
        <f>Working!E35</f>
        <v>20.97</v>
      </c>
      <c r="F5">
        <v>3</v>
      </c>
    </row>
    <row r="6" spans="1:6" x14ac:dyDescent="0.2">
      <c r="A6">
        <v>2014</v>
      </c>
      <c r="C6">
        <f>Working!E6</f>
        <v>6.28</v>
      </c>
      <c r="D6">
        <f>Working!E21</f>
        <v>18.34</v>
      </c>
      <c r="E6">
        <f>Working!E36</f>
        <v>19.66</v>
      </c>
      <c r="F6">
        <v>3</v>
      </c>
    </row>
    <row r="7" spans="1:6" x14ac:dyDescent="0.2">
      <c r="A7">
        <v>2015</v>
      </c>
      <c r="C7">
        <f>Working!E7</f>
        <v>13.14</v>
      </c>
      <c r="D7">
        <f>Working!E22</f>
        <v>17.98</v>
      </c>
      <c r="E7">
        <f>Working!E37</f>
        <v>19.170000000000002</v>
      </c>
      <c r="F7">
        <v>3</v>
      </c>
    </row>
    <row r="8" spans="1:6" x14ac:dyDescent="0.2">
      <c r="A8">
        <v>2016</v>
      </c>
      <c r="C8">
        <f>Working!E8</f>
        <v>6.27</v>
      </c>
      <c r="D8">
        <f>Working!E23</f>
        <v>18.77</v>
      </c>
      <c r="E8">
        <f>Working!E38</f>
        <v>19.96</v>
      </c>
      <c r="F8">
        <v>3</v>
      </c>
    </row>
    <row r="9" spans="1:6" x14ac:dyDescent="0.2">
      <c r="A9">
        <v>2017</v>
      </c>
      <c r="C9">
        <f>Working!E9</f>
        <v>6.31</v>
      </c>
      <c r="D9">
        <f>Working!E24</f>
        <v>18.72</v>
      </c>
      <c r="E9">
        <f>Working!E39</f>
        <v>19.809999999999999</v>
      </c>
      <c r="F9">
        <v>3</v>
      </c>
    </row>
    <row r="10" spans="1:6" x14ac:dyDescent="0.2">
      <c r="A10">
        <v>2018</v>
      </c>
      <c r="C10">
        <f>Working!E10</f>
        <v>9.2200000000000006</v>
      </c>
      <c r="D10">
        <f>Working!E25</f>
        <v>19</v>
      </c>
      <c r="E10">
        <f>Working!E40</f>
        <v>20.100000000000001</v>
      </c>
      <c r="F10">
        <v>3</v>
      </c>
    </row>
    <row r="11" spans="1:6" x14ac:dyDescent="0.2">
      <c r="A11">
        <v>2019</v>
      </c>
      <c r="C11">
        <f>Working!E11</f>
        <v>5.18</v>
      </c>
      <c r="D11">
        <f>Working!E26</f>
        <v>18.88</v>
      </c>
      <c r="E11">
        <f>Working!E41</f>
        <v>20.03</v>
      </c>
      <c r="F11">
        <v>3</v>
      </c>
    </row>
    <row r="12" spans="1:6" x14ac:dyDescent="0.2">
      <c r="A12">
        <v>2020</v>
      </c>
      <c r="C12">
        <f>Working!E12</f>
        <v>4.3600000000000003</v>
      </c>
      <c r="D12">
        <f>Working!E27</f>
        <v>19.45</v>
      </c>
      <c r="E12">
        <f>Working!E42</f>
        <v>20.63</v>
      </c>
      <c r="F12">
        <v>3</v>
      </c>
    </row>
    <row r="13" spans="1:6" x14ac:dyDescent="0.2">
      <c r="A13">
        <v>2021</v>
      </c>
      <c r="C13">
        <f>Working!E13</f>
        <v>2.99</v>
      </c>
      <c r="D13">
        <f>Working!E28</f>
        <v>19.079999999999998</v>
      </c>
      <c r="E13">
        <f>Working!E43</f>
        <v>20.079999999999998</v>
      </c>
      <c r="F13">
        <v>3</v>
      </c>
    </row>
    <row r="14" spans="1:6" x14ac:dyDescent="0.2">
      <c r="A14">
        <v>2022</v>
      </c>
      <c r="C14">
        <f>Working!E14</f>
        <v>5.59</v>
      </c>
      <c r="D14">
        <f>Working!E29</f>
        <v>18.97</v>
      </c>
      <c r="E14">
        <f>Working!E44</f>
        <v>20.32</v>
      </c>
      <c r="F14">
        <v>3</v>
      </c>
    </row>
    <row r="15" spans="1:6" x14ac:dyDescent="0.2">
      <c r="A15">
        <v>2023</v>
      </c>
      <c r="C15">
        <f>Working!E15</f>
        <v>2.56</v>
      </c>
      <c r="D15">
        <f>Working!E30</f>
        <v>20.49</v>
      </c>
      <c r="E15">
        <f>Working!E45</f>
        <v>22.21</v>
      </c>
      <c r="F15">
        <v>3</v>
      </c>
    </row>
    <row r="16" spans="1:6" x14ac:dyDescent="0.2">
      <c r="A16">
        <v>2024</v>
      </c>
      <c r="C16">
        <f>Working!E16</f>
        <v>1.27</v>
      </c>
      <c r="D16">
        <f>Working!E31</f>
        <v>20.13</v>
      </c>
      <c r="E16">
        <f>Working!E46</f>
        <v>21.66</v>
      </c>
      <c r="F16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F52F-DD20-874A-8702-EDA2B364FD10}">
  <dimension ref="A1:F16"/>
  <sheetViews>
    <sheetView workbookViewId="0">
      <selection activeCell="E2" sqref="E2:E16"/>
    </sheetView>
  </sheetViews>
  <sheetFormatPr baseColWidth="10" defaultRowHeight="16" x14ac:dyDescent="0.2"/>
  <cols>
    <col min="3" max="3" width="11.1640625" bestFit="1" customWidth="1"/>
  </cols>
  <sheetData>
    <row r="1" spans="1:6" x14ac:dyDescent="0.2">
      <c r="A1" t="s">
        <v>32</v>
      </c>
      <c r="B1" t="s">
        <v>33</v>
      </c>
      <c r="C1" t="s">
        <v>48</v>
      </c>
      <c r="D1" t="s">
        <v>34</v>
      </c>
      <c r="E1" t="s">
        <v>35</v>
      </c>
      <c r="F1" t="s">
        <v>55</v>
      </c>
    </row>
    <row r="2" spans="1:6" x14ac:dyDescent="0.2">
      <c r="A2">
        <v>2010</v>
      </c>
      <c r="B2" t="s">
        <v>37</v>
      </c>
      <c r="C2">
        <f>Working!D2</f>
        <v>39.97</v>
      </c>
      <c r="D2">
        <f>Working!D17</f>
        <v>19.95</v>
      </c>
      <c r="E2">
        <f>Working!D32</f>
        <v>22.3</v>
      </c>
      <c r="F2">
        <v>2</v>
      </c>
    </row>
    <row r="3" spans="1:6" x14ac:dyDescent="0.2">
      <c r="A3">
        <v>2011</v>
      </c>
      <c r="B3" t="s">
        <v>37</v>
      </c>
      <c r="C3">
        <f>Working!D3</f>
        <v>4.46</v>
      </c>
      <c r="D3">
        <f>Working!D18</f>
        <v>19</v>
      </c>
      <c r="E3">
        <f>Working!D33</f>
        <v>19.91</v>
      </c>
      <c r="F3">
        <v>2</v>
      </c>
    </row>
    <row r="4" spans="1:6" x14ac:dyDescent="0.2">
      <c r="A4">
        <v>2012</v>
      </c>
      <c r="B4" t="s">
        <v>37</v>
      </c>
      <c r="C4">
        <f>Working!D4</f>
        <v>17.36</v>
      </c>
      <c r="D4">
        <f>Working!D19</f>
        <v>18.23</v>
      </c>
      <c r="E4">
        <f>Working!D34</f>
        <v>19.399999999999999</v>
      </c>
      <c r="F4">
        <v>2</v>
      </c>
    </row>
    <row r="5" spans="1:6" x14ac:dyDescent="0.2">
      <c r="A5">
        <v>2013</v>
      </c>
      <c r="B5" t="s">
        <v>37</v>
      </c>
      <c r="C5">
        <f>Working!D5</f>
        <v>20.170000000000002</v>
      </c>
      <c r="D5">
        <f>Working!D20</f>
        <v>19.13</v>
      </c>
      <c r="E5">
        <f>Working!D35</f>
        <v>20.49</v>
      </c>
      <c r="F5">
        <v>2</v>
      </c>
    </row>
    <row r="6" spans="1:6" x14ac:dyDescent="0.2">
      <c r="A6">
        <v>2014</v>
      </c>
      <c r="B6" t="s">
        <v>37</v>
      </c>
      <c r="C6">
        <f>Working!D6</f>
        <v>3.65</v>
      </c>
      <c r="D6">
        <f>Working!D21</f>
        <v>18.440000000000001</v>
      </c>
      <c r="E6">
        <f>Working!D36</f>
        <v>20.32</v>
      </c>
      <c r="F6">
        <v>2</v>
      </c>
    </row>
    <row r="7" spans="1:6" x14ac:dyDescent="0.2">
      <c r="A7">
        <v>2015</v>
      </c>
      <c r="B7" t="s">
        <v>37</v>
      </c>
      <c r="C7">
        <f>Working!D7</f>
        <v>19.72</v>
      </c>
      <c r="D7">
        <f>Working!D22</f>
        <v>18.2</v>
      </c>
      <c r="E7">
        <f>Working!D37</f>
        <v>19.399999999999999</v>
      </c>
      <c r="F7">
        <v>2</v>
      </c>
    </row>
    <row r="8" spans="1:6" x14ac:dyDescent="0.2">
      <c r="A8">
        <v>2016</v>
      </c>
      <c r="B8" t="s">
        <v>37</v>
      </c>
      <c r="C8">
        <f>Working!D8</f>
        <v>27.66</v>
      </c>
      <c r="D8">
        <f>Working!D23</f>
        <v>19.32</v>
      </c>
      <c r="E8">
        <f>Working!D38</f>
        <v>20.85</v>
      </c>
      <c r="F8">
        <v>2</v>
      </c>
    </row>
    <row r="9" spans="1:6" x14ac:dyDescent="0.2">
      <c r="A9">
        <v>2017</v>
      </c>
      <c r="B9" t="s">
        <v>37</v>
      </c>
      <c r="C9">
        <f>Working!D9</f>
        <v>6.16</v>
      </c>
      <c r="D9">
        <f>Working!D24</f>
        <v>19.13</v>
      </c>
      <c r="E9">
        <f>Working!D39</f>
        <v>20.23</v>
      </c>
      <c r="F9">
        <v>2</v>
      </c>
    </row>
    <row r="10" spans="1:6" x14ac:dyDescent="0.2">
      <c r="A10">
        <v>2018</v>
      </c>
      <c r="B10" t="s">
        <v>37</v>
      </c>
      <c r="C10">
        <f>Working!D10</f>
        <v>13.2</v>
      </c>
      <c r="D10">
        <f>Working!D25</f>
        <v>18.57</v>
      </c>
      <c r="E10">
        <f>Working!D40</f>
        <v>19.920000000000002</v>
      </c>
      <c r="F10">
        <v>2</v>
      </c>
    </row>
    <row r="11" spans="1:6" x14ac:dyDescent="0.2">
      <c r="A11">
        <v>2019</v>
      </c>
      <c r="B11" t="s">
        <v>37</v>
      </c>
      <c r="C11">
        <f>Working!D11</f>
        <v>12.25</v>
      </c>
      <c r="D11">
        <f>Working!D26</f>
        <v>19.170000000000002</v>
      </c>
      <c r="E11">
        <f>Working!D41</f>
        <v>20.52</v>
      </c>
      <c r="F11">
        <v>2</v>
      </c>
    </row>
    <row r="12" spans="1:6" x14ac:dyDescent="0.2">
      <c r="A12">
        <v>2020</v>
      </c>
      <c r="B12" t="s">
        <v>37</v>
      </c>
      <c r="C12">
        <f>Working!D12</f>
        <v>7.72</v>
      </c>
      <c r="D12">
        <f>Working!D27</f>
        <v>19.760000000000002</v>
      </c>
      <c r="E12">
        <f>Working!D42</f>
        <v>21.26</v>
      </c>
      <c r="F12">
        <v>2</v>
      </c>
    </row>
    <row r="13" spans="1:6" x14ac:dyDescent="0.2">
      <c r="A13">
        <v>2021</v>
      </c>
      <c r="B13" t="s">
        <v>37</v>
      </c>
      <c r="C13">
        <f>Working!D13</f>
        <v>2.73</v>
      </c>
      <c r="D13">
        <f>Working!D28</f>
        <v>19.13</v>
      </c>
      <c r="E13">
        <f>Working!D43</f>
        <v>20.59</v>
      </c>
      <c r="F13">
        <v>2</v>
      </c>
    </row>
    <row r="14" spans="1:6" x14ac:dyDescent="0.2">
      <c r="A14">
        <v>2022</v>
      </c>
      <c r="B14" t="s">
        <v>37</v>
      </c>
      <c r="C14">
        <f>Working!D14</f>
        <v>8.6199999999999992</v>
      </c>
      <c r="D14">
        <f>Working!D29</f>
        <v>19.5</v>
      </c>
      <c r="E14">
        <f>Working!D44</f>
        <v>20.83</v>
      </c>
      <c r="F14">
        <v>2</v>
      </c>
    </row>
    <row r="15" spans="1:6" x14ac:dyDescent="0.2">
      <c r="A15">
        <v>2023</v>
      </c>
      <c r="B15" t="s">
        <v>37</v>
      </c>
      <c r="C15">
        <f>Working!D15</f>
        <v>2.11</v>
      </c>
      <c r="D15">
        <f>Working!D30</f>
        <v>19.059999999999999</v>
      </c>
      <c r="E15">
        <f>Working!D45</f>
        <v>21.16</v>
      </c>
      <c r="F15">
        <v>2</v>
      </c>
    </row>
    <row r="16" spans="1:6" x14ac:dyDescent="0.2">
      <c r="A16">
        <v>2024</v>
      </c>
      <c r="B16" t="s">
        <v>37</v>
      </c>
      <c r="C16">
        <f>Working!D16</f>
        <v>11.35</v>
      </c>
      <c r="D16">
        <f>Working!D31</f>
        <v>21.18</v>
      </c>
      <c r="E16">
        <f>Working!D46</f>
        <v>22.37</v>
      </c>
      <c r="F16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AC75-21B4-2249-9304-193F1A3D3C60}">
  <dimension ref="A1:F16"/>
  <sheetViews>
    <sheetView workbookViewId="0">
      <selection activeCell="E2" sqref="E2:E16"/>
    </sheetView>
  </sheetViews>
  <sheetFormatPr baseColWidth="10" defaultRowHeight="16" x14ac:dyDescent="0.2"/>
  <cols>
    <col min="3" max="3" width="11.1640625" bestFit="1" customWidth="1"/>
  </cols>
  <sheetData>
    <row r="1" spans="1:6" x14ac:dyDescent="0.2">
      <c r="A1" t="s">
        <v>32</v>
      </c>
      <c r="B1" t="s">
        <v>33</v>
      </c>
      <c r="C1" t="s">
        <v>48</v>
      </c>
      <c r="D1" t="s">
        <v>34</v>
      </c>
      <c r="E1" t="s">
        <v>35</v>
      </c>
      <c r="F1" t="s">
        <v>55</v>
      </c>
    </row>
    <row r="2" spans="1:6" x14ac:dyDescent="0.2">
      <c r="A2">
        <v>2010</v>
      </c>
      <c r="B2" t="s">
        <v>36</v>
      </c>
      <c r="C2">
        <f>Working!C2</f>
        <v>57.21</v>
      </c>
      <c r="D2">
        <f>Working!C17</f>
        <v>20.239999999999998</v>
      </c>
      <c r="E2">
        <f>Working!C32</f>
        <v>22.32</v>
      </c>
      <c r="F2">
        <v>1</v>
      </c>
    </row>
    <row r="3" spans="1:6" x14ac:dyDescent="0.2">
      <c r="A3">
        <v>2011</v>
      </c>
      <c r="B3" t="s">
        <v>36</v>
      </c>
      <c r="C3">
        <f>Working!C3</f>
        <v>32.94</v>
      </c>
      <c r="D3">
        <f>Working!C18</f>
        <v>19.46</v>
      </c>
      <c r="E3">
        <f>Working!C33</f>
        <v>21.42</v>
      </c>
      <c r="F3">
        <v>1</v>
      </c>
    </row>
    <row r="4" spans="1:6" x14ac:dyDescent="0.2">
      <c r="A4">
        <v>2012</v>
      </c>
      <c r="B4" t="s">
        <v>36</v>
      </c>
      <c r="C4">
        <f>Working!C4</f>
        <v>11.95</v>
      </c>
      <c r="D4">
        <f>Working!C19</f>
        <v>19.36</v>
      </c>
      <c r="E4">
        <f>Working!C34</f>
        <v>20.6</v>
      </c>
      <c r="F4">
        <v>1</v>
      </c>
    </row>
    <row r="5" spans="1:6" x14ac:dyDescent="0.2">
      <c r="A5">
        <v>2013</v>
      </c>
      <c r="B5" t="s">
        <v>36</v>
      </c>
      <c r="C5">
        <f>Working!C5</f>
        <v>14.11</v>
      </c>
      <c r="D5">
        <f>Working!C20</f>
        <v>19.690000000000001</v>
      </c>
      <c r="E5">
        <f>Working!C35</f>
        <v>21.06</v>
      </c>
      <c r="F5">
        <v>1</v>
      </c>
    </row>
    <row r="6" spans="1:6" x14ac:dyDescent="0.2">
      <c r="A6">
        <v>2014</v>
      </c>
      <c r="B6" t="s">
        <v>36</v>
      </c>
      <c r="C6">
        <f>Working!C6</f>
        <v>11.92</v>
      </c>
      <c r="D6">
        <f>Working!C21</f>
        <v>19.34</v>
      </c>
      <c r="E6">
        <f>Working!C36</f>
        <v>20.36</v>
      </c>
      <c r="F6">
        <v>1</v>
      </c>
    </row>
    <row r="7" spans="1:6" x14ac:dyDescent="0.2">
      <c r="A7">
        <v>2015</v>
      </c>
      <c r="B7" t="s">
        <v>36</v>
      </c>
      <c r="C7">
        <f>Working!C7</f>
        <v>7.68</v>
      </c>
      <c r="D7">
        <f>Working!C22</f>
        <v>18.940000000000001</v>
      </c>
      <c r="E7">
        <f>Working!C37</f>
        <v>20.6</v>
      </c>
      <c r="F7">
        <v>1</v>
      </c>
    </row>
    <row r="8" spans="1:6" x14ac:dyDescent="0.2">
      <c r="A8">
        <v>2016</v>
      </c>
      <c r="B8" t="s">
        <v>36</v>
      </c>
      <c r="C8">
        <f>Working!C8</f>
        <v>19.11</v>
      </c>
      <c r="D8">
        <f>Working!C23</f>
        <v>20.399999999999999</v>
      </c>
      <c r="E8">
        <f>Working!C38</f>
        <v>22.4</v>
      </c>
      <c r="F8">
        <v>1</v>
      </c>
    </row>
    <row r="9" spans="1:6" x14ac:dyDescent="0.2">
      <c r="A9">
        <v>2017</v>
      </c>
      <c r="B9" t="s">
        <v>36</v>
      </c>
      <c r="C9">
        <f>Working!C9</f>
        <v>21.95</v>
      </c>
      <c r="D9">
        <f>Working!C24</f>
        <v>19.420000000000002</v>
      </c>
      <c r="E9">
        <f>Working!C39</f>
        <v>20.89</v>
      </c>
      <c r="F9">
        <v>1</v>
      </c>
    </row>
    <row r="10" spans="1:6" x14ac:dyDescent="0.2">
      <c r="A10">
        <v>2018</v>
      </c>
      <c r="B10" t="s">
        <v>36</v>
      </c>
      <c r="C10">
        <f>Working!C10</f>
        <v>4.5199999999999996</v>
      </c>
      <c r="D10">
        <f>Working!C25</f>
        <v>19.649999999999999</v>
      </c>
      <c r="E10">
        <f>Working!C40</f>
        <v>20.85</v>
      </c>
      <c r="F10">
        <v>1</v>
      </c>
    </row>
    <row r="11" spans="1:6" x14ac:dyDescent="0.2">
      <c r="A11">
        <v>2019</v>
      </c>
      <c r="B11" t="s">
        <v>36</v>
      </c>
      <c r="C11">
        <f>Working!C11</f>
        <v>11.95</v>
      </c>
      <c r="D11">
        <f>Working!C26</f>
        <v>19.68</v>
      </c>
      <c r="E11">
        <f>Working!C41</f>
        <v>21.27</v>
      </c>
      <c r="F11">
        <v>1</v>
      </c>
    </row>
    <row r="12" spans="1:6" x14ac:dyDescent="0.2">
      <c r="A12">
        <v>2020</v>
      </c>
      <c r="B12" t="s">
        <v>36</v>
      </c>
      <c r="C12">
        <f>Working!C12</f>
        <v>3.39</v>
      </c>
      <c r="D12">
        <f>Working!C27</f>
        <v>19.61</v>
      </c>
      <c r="E12">
        <f>Working!C42</f>
        <v>20.84</v>
      </c>
      <c r="F12">
        <v>1</v>
      </c>
    </row>
    <row r="13" spans="1:6" x14ac:dyDescent="0.2">
      <c r="A13">
        <v>2021</v>
      </c>
      <c r="B13" t="s">
        <v>36</v>
      </c>
      <c r="C13">
        <f>Working!C13</f>
        <v>46.16</v>
      </c>
      <c r="D13">
        <f>Working!C28</f>
        <v>19.850000000000001</v>
      </c>
      <c r="E13">
        <f>Working!C43</f>
        <v>21.79</v>
      </c>
      <c r="F13">
        <v>1</v>
      </c>
    </row>
    <row r="14" spans="1:6" x14ac:dyDescent="0.2">
      <c r="A14">
        <v>2022</v>
      </c>
      <c r="B14" t="s">
        <v>36</v>
      </c>
      <c r="C14">
        <f>Working!C14</f>
        <v>21.32</v>
      </c>
      <c r="D14">
        <f>Working!C29</f>
        <v>20.079999999999998</v>
      </c>
      <c r="E14">
        <f>Working!C44</f>
        <v>21.5</v>
      </c>
      <c r="F14">
        <v>1</v>
      </c>
    </row>
    <row r="15" spans="1:6" x14ac:dyDescent="0.2">
      <c r="A15">
        <v>2023</v>
      </c>
      <c r="B15" t="s">
        <v>36</v>
      </c>
      <c r="C15">
        <f>Working!C15</f>
        <v>6.12</v>
      </c>
      <c r="D15">
        <f>Working!C30</f>
        <v>20.5</v>
      </c>
      <c r="E15">
        <f>Working!C45</f>
        <v>21.69</v>
      </c>
      <c r="F15">
        <v>1</v>
      </c>
    </row>
    <row r="16" spans="1:6" x14ac:dyDescent="0.2">
      <c r="A16">
        <v>2024</v>
      </c>
      <c r="B16" t="s">
        <v>36</v>
      </c>
      <c r="C16">
        <f>Working!C16</f>
        <v>22.14</v>
      </c>
      <c r="D16">
        <f>Working!C31</f>
        <v>21.4</v>
      </c>
      <c r="E16">
        <f>Working!C46</f>
        <v>23.01</v>
      </c>
      <c r="F16">
        <v>1</v>
      </c>
    </row>
  </sheetData>
  <phoneticPr fontId="2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4AAE-3B85-A149-AD9A-401BE1F3CE7E}">
  <dimension ref="A1:B19"/>
  <sheetViews>
    <sheetView workbookViewId="0">
      <selection activeCell="B19" sqref="B19"/>
    </sheetView>
  </sheetViews>
  <sheetFormatPr baseColWidth="10" defaultRowHeight="16" x14ac:dyDescent="0.2"/>
  <cols>
    <col min="1" max="1" width="90.6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7" spans="1:2" x14ac:dyDescent="0.2">
      <c r="A17" t="s">
        <v>49</v>
      </c>
      <c r="B17" t="s">
        <v>50</v>
      </c>
    </row>
    <row r="18" spans="1:2" x14ac:dyDescent="0.2">
      <c r="A18" t="s">
        <v>51</v>
      </c>
      <c r="B18" t="s">
        <v>52</v>
      </c>
    </row>
    <row r="19" spans="1:2" x14ac:dyDescent="0.2">
      <c r="A19" t="s">
        <v>53</v>
      </c>
      <c r="B1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Working</vt:lpstr>
      <vt:lpstr>Dataset</vt:lpstr>
      <vt:lpstr>Dec_Data</vt:lpstr>
      <vt:lpstr>Final_data</vt:lpstr>
      <vt:lpstr>Nov_Data</vt:lpstr>
      <vt:lpstr>Oct_Data</vt:lpstr>
      <vt:lpstr>Sep_Data</vt:lpstr>
      <vt:lpstr>Aug_Data</vt:lpstr>
      <vt:lpstr>Jul_Data</vt:lpstr>
      <vt:lpstr>Jun_Data</vt:lpstr>
      <vt:lpstr>May_Data</vt:lpstr>
      <vt:lpstr>Apr_Data</vt:lpstr>
      <vt:lpstr>Mar_Data</vt:lpstr>
      <vt:lpstr>Feb_Data</vt:lpstr>
      <vt:lpstr>Jan_Data</vt:lpstr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Elvis Frimpong</cp:lastModifiedBy>
  <dcterms:created xsi:type="dcterms:W3CDTF">2025-12-27T15:14:02Z</dcterms:created>
  <dcterms:modified xsi:type="dcterms:W3CDTF">2025-12-31T16:09:13Z</dcterms:modified>
</cp:coreProperties>
</file>